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Queries" sheetId="4" state="visible" r:id="rId4"/>
    <sheet xmlns:r="http://schemas.openxmlformats.org/officeDocument/2006/relationships" name="Prerequisites" sheetId="5" state="visible" r:id="rId5"/>
    <sheet xmlns:r="http://schemas.openxmlformats.org/officeDocument/2006/relationships" name="Test Data" sheetId="6" state="visible" r:id="rId6"/>
  </sheets>
  <definedNames>
    <definedName name="_xlnm._FilterDatabase" localSheetId="2" hidden="1">'Test Cases'!$A$1:$Q$186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Courier New"/>
      <sz val="9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zoomScale="9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Compliance Batch Framework - Test Cases</t>
        </is>
      </c>
    </row>
    <row r="2">
      <c r="A2" s="2" t="inlineStr">
        <is>
          <t>Framework 0.3.67 (Airflow / Teradata), CMSUNIV DEV. Source: airflow_resources/docs/TEST_CASES.md</t>
        </is>
      </c>
    </row>
    <row r="3">
      <c r="A3" s="2" t="inlineStr"/>
    </row>
    <row r="4">
      <c r="A4" s="3" t="inlineStr">
        <is>
          <t>How to use</t>
        </is>
      </c>
    </row>
    <row r="5">
      <c r="A5" s="2" t="inlineStr">
        <is>
          <t>1. Check the prerequisites (sheet Prerequisites) and prepare the test files (sheet Test Data).</t>
        </is>
      </c>
    </row>
    <row r="6">
      <c r="A6" s="2" t="inlineStr">
        <is>
          <t>2. Run each case on sheet Test Cases: setup, steps, then compare with the expected result.</t>
        </is>
      </c>
    </row>
    <row r="7">
      <c r="A7" s="2" t="inlineStr">
        <is>
          <t>3. Per case: run the Setup SQL (if any), run the Job to Execute, run the Verification SQL, compare with the Expected Result.</t>
        </is>
      </c>
    </row>
    <row r="8">
      <c r="A8" s="2" t="inlineStr">
        <is>
          <t>4. Fill in the yellow columns only: Status, Actual Result, Tester, Test Date, DAG Run ID, Batch ID / Load ID, Defect / Comments.</t>
        </is>
      </c>
    </row>
    <row r="9">
      <c r="A9" s="2" t="inlineStr">
        <is>
          <t>5. Status values: Not Run, Pass, Fail, Blocked, N/A (drop-down). Sheet Summary counts them per area automatically.</t>
        </is>
      </c>
    </row>
    <row r="10">
      <c r="A10" s="2" t="inlineStr">
        <is>
          <t>6. More queries Q1 - Q12 are on sheet Queries; replace &lt;batch&gt;, &lt;table&gt; and dates with those of the case.</t>
        </is>
      </c>
    </row>
    <row r="11">
      <c r="A11" s="2" t="inlineStr">
        <is>
          <t>7. 'Trigger X with {...}' = Airflow -&gt; the DAG -&gt; Trigger DAG w/ config -&gt; paste the JSON.</t>
        </is>
      </c>
    </row>
    <row r="12">
      <c r="A12" s="2" t="inlineStr">
        <is>
          <t>8. Replace &lt;batch&gt;, &lt;table&gt;, &lt;Req_ID&gt;, &lt;you&gt; in the SQL and JSON. Setup changes marked 'revert after' must be undone after the case.</t>
        </is>
      </c>
    </row>
    <row r="13">
      <c r="A13" s="2" t="inlineStr">
        <is>
          <t>9. Do not run in PROD; use test files with dummy member data only.</t>
        </is>
      </c>
    </row>
    <row r="14">
      <c r="A14" s="2" t="inlineStr"/>
    </row>
    <row r="15">
      <c r="A15" s="3" t="inlineStr">
        <is>
          <t>Example of a filled-in row (format only)</t>
        </is>
      </c>
    </row>
    <row r="16">
      <c r="A16" s="4" t="inlineStr">
        <is>
          <t>ID</t>
        </is>
      </c>
      <c r="B16" s="4" t="inlineStr">
        <is>
          <t>Status</t>
        </is>
      </c>
      <c r="C16" s="4" t="inlineStr">
        <is>
          <t>Actual Result</t>
        </is>
      </c>
      <c r="D16" s="4" t="inlineStr">
        <is>
          <t>Tester</t>
        </is>
      </c>
      <c r="E16" s="4" t="inlineStr">
        <is>
          <t>Test Date</t>
        </is>
      </c>
      <c r="F16" s="4" t="inlineStr">
        <is>
          <t>DAG Run ID</t>
        </is>
      </c>
      <c r="G16" s="4" t="inlineStr">
        <is>
          <t>Batch ID / Load ID</t>
        </is>
      </c>
      <c r="H16" s="4" t="inlineStr">
        <is>
          <t>Defect / Comments</t>
        </is>
      </c>
    </row>
    <row r="17">
      <c r="A17" s="5" t="inlineStr">
        <is>
          <t>BC-01</t>
        </is>
      </c>
      <c r="B17" s="5" t="inlineStr">
        <is>
          <t>Pass</t>
        </is>
      </c>
      <c r="C17" s="5" t="inlineStr">
        <is>
          <t>13 DLY batches, one row per source, dates 2026-10-25</t>
        </is>
      </c>
      <c r="D17" s="5" t="inlineStr">
        <is>
          <t>jdoe</t>
        </is>
      </c>
      <c r="E17" s="5" t="inlineStr">
        <is>
          <t>2026-10-26</t>
        </is>
      </c>
      <c r="F17" s="5" t="inlineStr">
        <is>
          <t>manual__2026-10-26T11:02:13</t>
        </is>
      </c>
      <c r="G17" s="5" t="inlineStr">
        <is>
          <t>20261026_CMSUNIV_ODAG3_DLY</t>
        </is>
      </c>
      <c r="H17" s="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zoomScale="9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Area code</t>
        </is>
      </c>
      <c r="B1" s="4" t="inlineStr">
        <is>
          <t>Area</t>
        </is>
      </c>
      <c r="C1" s="4" t="inlineStr">
        <is>
          <t>Total</t>
        </is>
      </c>
      <c r="D1" s="4" t="inlineStr">
        <is>
          <t>Pass</t>
        </is>
      </c>
      <c r="E1" s="4" t="inlineStr">
        <is>
          <t>Fail</t>
        </is>
      </c>
      <c r="F1" s="4" t="inlineStr">
        <is>
          <t>Blocked</t>
        </is>
      </c>
      <c r="G1" s="4" t="inlineStr">
        <is>
          <t>N/A</t>
        </is>
      </c>
      <c r="H1" s="4" t="inlineStr">
        <is>
          <t>Not Run</t>
        </is>
      </c>
      <c r="I1" s="4" t="inlineStr">
        <is>
          <t>% Executed</t>
        </is>
      </c>
      <c r="J1" s="4" t="inlineStr">
        <is>
          <t>% Passed of executed</t>
        </is>
      </c>
    </row>
    <row r="2">
      <c r="A2" s="6" t="inlineStr">
        <is>
          <t>CFG</t>
        </is>
      </c>
      <c r="B2" s="6" t="inlineStr">
        <is>
          <t>Setup and configuration</t>
        </is>
      </c>
      <c r="C2" s="6">
        <f>COUNTIF('Test Cases'!$A$2:$A$186,"CFG-*")</f>
        <v/>
      </c>
      <c r="D2" s="6">
        <f>COUNTIFS('Test Cases'!$A$2:$A$186,"CFG-*",'Test Cases'!$K$2:$K$186,"Pass")</f>
        <v/>
      </c>
      <c r="E2" s="6">
        <f>COUNTIFS('Test Cases'!$A$2:$A$186,"CFG-*",'Test Cases'!$K$2:$K$186,"Fail")</f>
        <v/>
      </c>
      <c r="F2" s="6">
        <f>COUNTIFS('Test Cases'!$A$2:$A$186,"CFG-*",'Test Cases'!$K$2:$K$186,"Blocked")</f>
        <v/>
      </c>
      <c r="G2" s="6">
        <f>COUNTIFS('Test Cases'!$A$2:$A$186,"CFG-*",'Test Cases'!$K$2:$K$186,"N/A")</f>
        <v/>
      </c>
      <c r="H2" s="6">
        <f>COUNTIFS('Test Cases'!$A$2:$A$186,"CFG-*",'Test Cases'!$K$2:$K$186,"Not Run")</f>
        <v/>
      </c>
      <c r="I2" s="7">
        <f>IF(C2=0,0,(D2+E2+F2+G2)/C2)</f>
        <v/>
      </c>
      <c r="J2" s="7">
        <f>IF((D2+E2)=0,0,D2/(D2+E2))</f>
        <v/>
      </c>
    </row>
    <row r="3">
      <c r="A3" s="6" t="inlineStr">
        <is>
          <t>BC</t>
        </is>
      </c>
      <c r="B3" s="6" t="inlineStr">
        <is>
          <t>Batch creation</t>
        </is>
      </c>
      <c r="C3" s="6">
        <f>COUNTIF('Test Cases'!$A$2:$A$186,"BC-*")</f>
        <v/>
      </c>
      <c r="D3" s="6">
        <f>COUNTIFS('Test Cases'!$A$2:$A$186,"BC-*",'Test Cases'!$K$2:$K$186,"Pass")</f>
        <v/>
      </c>
      <c r="E3" s="6">
        <f>COUNTIFS('Test Cases'!$A$2:$A$186,"BC-*",'Test Cases'!$K$2:$K$186,"Fail")</f>
        <v/>
      </c>
      <c r="F3" s="6">
        <f>COUNTIFS('Test Cases'!$A$2:$A$186,"BC-*",'Test Cases'!$K$2:$K$186,"Blocked")</f>
        <v/>
      </c>
      <c r="G3" s="6">
        <f>COUNTIFS('Test Cases'!$A$2:$A$186,"BC-*",'Test Cases'!$K$2:$K$186,"N/A")</f>
        <v/>
      </c>
      <c r="H3" s="6">
        <f>COUNTIFS('Test Cases'!$A$2:$A$186,"BC-*",'Test Cases'!$K$2:$K$186,"Not Run")</f>
        <v/>
      </c>
      <c r="I3" s="7">
        <f>IF(C3=0,0,(D3+E3+F3+G3)/C3)</f>
        <v/>
      </c>
      <c r="J3" s="7">
        <f>IF((D3+E3)=0,0,D3/(D3+E3))</f>
        <v/>
      </c>
    </row>
    <row r="4">
      <c r="A4" s="6" t="inlineStr">
        <is>
          <t>IN</t>
        </is>
      </c>
      <c r="B4" s="6" t="inlineStr">
        <is>
          <t>Ad-hoc requests</t>
        </is>
      </c>
      <c r="C4" s="6">
        <f>COUNTIF('Test Cases'!$A$2:$A$186,"IN-*")</f>
        <v/>
      </c>
      <c r="D4" s="6">
        <f>COUNTIFS('Test Cases'!$A$2:$A$186,"IN-*",'Test Cases'!$K$2:$K$186,"Pass")</f>
        <v/>
      </c>
      <c r="E4" s="6">
        <f>COUNTIFS('Test Cases'!$A$2:$A$186,"IN-*",'Test Cases'!$K$2:$K$186,"Fail")</f>
        <v/>
      </c>
      <c r="F4" s="6">
        <f>COUNTIFS('Test Cases'!$A$2:$A$186,"IN-*",'Test Cases'!$K$2:$K$186,"Blocked")</f>
        <v/>
      </c>
      <c r="G4" s="6">
        <f>COUNTIFS('Test Cases'!$A$2:$A$186,"IN-*",'Test Cases'!$K$2:$K$186,"N/A")</f>
        <v/>
      </c>
      <c r="H4" s="6">
        <f>COUNTIFS('Test Cases'!$A$2:$A$186,"IN-*",'Test Cases'!$K$2:$K$186,"Not Run")</f>
        <v/>
      </c>
      <c r="I4" s="7">
        <f>IF(C4=0,0,(D4+E4+F4+G4)/C4)</f>
        <v/>
      </c>
      <c r="J4" s="7">
        <f>IF((D4+E4)=0,0,D4/(D4+E4))</f>
        <v/>
      </c>
    </row>
    <row r="5">
      <c r="A5" s="6" t="inlineStr">
        <is>
          <t>FC</t>
        </is>
      </c>
      <c r="B5" s="6" t="inlineStr">
        <is>
          <t>File check</t>
        </is>
      </c>
      <c r="C5" s="6">
        <f>COUNTIF('Test Cases'!$A$2:$A$186,"FC-*")</f>
        <v/>
      </c>
      <c r="D5" s="6">
        <f>COUNTIFS('Test Cases'!$A$2:$A$186,"FC-*",'Test Cases'!$K$2:$K$186,"Pass")</f>
        <v/>
      </c>
      <c r="E5" s="6">
        <f>COUNTIFS('Test Cases'!$A$2:$A$186,"FC-*",'Test Cases'!$K$2:$K$186,"Fail")</f>
        <v/>
      </c>
      <c r="F5" s="6">
        <f>COUNTIFS('Test Cases'!$A$2:$A$186,"FC-*",'Test Cases'!$K$2:$K$186,"Blocked")</f>
        <v/>
      </c>
      <c r="G5" s="6">
        <f>COUNTIFS('Test Cases'!$A$2:$A$186,"FC-*",'Test Cases'!$K$2:$K$186,"N/A")</f>
        <v/>
      </c>
      <c r="H5" s="6">
        <f>COUNTIFS('Test Cases'!$A$2:$A$186,"FC-*",'Test Cases'!$K$2:$K$186,"Not Run")</f>
        <v/>
      </c>
      <c r="I5" s="7">
        <f>IF(C5=0,0,(D5+E5+F5+G5)/C5)</f>
        <v/>
      </c>
      <c r="J5" s="7">
        <f>IF((D5+E5)=0,0,D5/(D5+E5))</f>
        <v/>
      </c>
    </row>
    <row r="6">
      <c r="A6" s="6" t="inlineStr">
        <is>
          <t>FL</t>
        </is>
      </c>
      <c r="B6" s="6" t="inlineStr">
        <is>
          <t>File load - staging and core</t>
        </is>
      </c>
      <c r="C6" s="6">
        <f>COUNTIF('Test Cases'!$A$2:$A$186,"FL-*")</f>
        <v/>
      </c>
      <c r="D6" s="6">
        <f>COUNTIFS('Test Cases'!$A$2:$A$186,"FL-*",'Test Cases'!$K$2:$K$186,"Pass")</f>
        <v/>
      </c>
      <c r="E6" s="6">
        <f>COUNTIFS('Test Cases'!$A$2:$A$186,"FL-*",'Test Cases'!$K$2:$K$186,"Fail")</f>
        <v/>
      </c>
      <c r="F6" s="6">
        <f>COUNTIFS('Test Cases'!$A$2:$A$186,"FL-*",'Test Cases'!$K$2:$K$186,"Blocked")</f>
        <v/>
      </c>
      <c r="G6" s="6">
        <f>COUNTIFS('Test Cases'!$A$2:$A$186,"FL-*",'Test Cases'!$K$2:$K$186,"N/A")</f>
        <v/>
      </c>
      <c r="H6" s="6">
        <f>COUNTIFS('Test Cases'!$A$2:$A$186,"FL-*",'Test Cases'!$K$2:$K$186,"Not Run")</f>
        <v/>
      </c>
      <c r="I6" s="7">
        <f>IF(C6=0,0,(D6+E6+F6+G6)/C6)</f>
        <v/>
      </c>
      <c r="J6" s="7">
        <f>IF((D6+E6)=0,0,D6/(D6+E6))</f>
        <v/>
      </c>
    </row>
    <row r="7">
      <c r="A7" s="6" t="inlineStr">
        <is>
          <t>SL</t>
        </is>
      </c>
      <c r="B7" s="6" t="inlineStr">
        <is>
          <t>Internal sources</t>
        </is>
      </c>
      <c r="C7" s="6">
        <f>COUNTIF('Test Cases'!$A$2:$A$186,"SL-*")</f>
        <v/>
      </c>
      <c r="D7" s="6">
        <f>COUNTIFS('Test Cases'!$A$2:$A$186,"SL-*",'Test Cases'!$K$2:$K$186,"Pass")</f>
        <v/>
      </c>
      <c r="E7" s="6">
        <f>COUNTIFS('Test Cases'!$A$2:$A$186,"SL-*",'Test Cases'!$K$2:$K$186,"Fail")</f>
        <v/>
      </c>
      <c r="F7" s="6">
        <f>COUNTIFS('Test Cases'!$A$2:$A$186,"SL-*",'Test Cases'!$K$2:$K$186,"Blocked")</f>
        <v/>
      </c>
      <c r="G7" s="6">
        <f>COUNTIFS('Test Cases'!$A$2:$A$186,"SL-*",'Test Cases'!$K$2:$K$186,"N/A")</f>
        <v/>
      </c>
      <c r="H7" s="6">
        <f>COUNTIFS('Test Cases'!$A$2:$A$186,"SL-*",'Test Cases'!$K$2:$K$186,"Not Run")</f>
        <v/>
      </c>
      <c r="I7" s="7">
        <f>IF(C7=0,0,(D7+E7+F7+G7)/C7)</f>
        <v/>
      </c>
      <c r="J7" s="7">
        <f>IF((D7+E7)=0,0,D7/(D7+E7))</f>
        <v/>
      </c>
    </row>
    <row r="8">
      <c r="A8" s="6" t="inlineStr">
        <is>
          <t>OV</t>
        </is>
      </c>
      <c r="B8" s="6" t="inlineStr">
        <is>
          <t>Overrides</t>
        </is>
      </c>
      <c r="C8" s="6">
        <f>COUNTIF('Test Cases'!$A$2:$A$186,"OV-*")</f>
        <v/>
      </c>
      <c r="D8" s="6">
        <f>COUNTIFS('Test Cases'!$A$2:$A$186,"OV-*",'Test Cases'!$K$2:$K$186,"Pass")</f>
        <v/>
      </c>
      <c r="E8" s="6">
        <f>COUNTIFS('Test Cases'!$A$2:$A$186,"OV-*",'Test Cases'!$K$2:$K$186,"Fail")</f>
        <v/>
      </c>
      <c r="F8" s="6">
        <f>COUNTIFS('Test Cases'!$A$2:$A$186,"OV-*",'Test Cases'!$K$2:$K$186,"Blocked")</f>
        <v/>
      </c>
      <c r="G8" s="6">
        <f>COUNTIFS('Test Cases'!$A$2:$A$186,"OV-*",'Test Cases'!$K$2:$K$186,"N/A")</f>
        <v/>
      </c>
      <c r="H8" s="6">
        <f>COUNTIFS('Test Cases'!$A$2:$A$186,"OV-*",'Test Cases'!$K$2:$K$186,"Not Run")</f>
        <v/>
      </c>
      <c r="I8" s="7">
        <f>IF(C8=0,0,(D8+E8+F8+G8)/C8)</f>
        <v/>
      </c>
      <c r="J8" s="7">
        <f>IF((D8+E8)=0,0,D8/(D8+E8))</f>
        <v/>
      </c>
    </row>
    <row r="9">
      <c r="A9" s="6" t="inlineStr">
        <is>
          <t>EX</t>
        </is>
      </c>
      <c r="B9" s="6" t="inlineStr">
        <is>
          <t>Export load and extract</t>
        </is>
      </c>
      <c r="C9" s="6">
        <f>COUNTIF('Test Cases'!$A$2:$A$186,"EX-*")</f>
        <v/>
      </c>
      <c r="D9" s="6">
        <f>COUNTIFS('Test Cases'!$A$2:$A$186,"EX-*",'Test Cases'!$K$2:$K$186,"Pass")</f>
        <v/>
      </c>
      <c r="E9" s="6">
        <f>COUNTIFS('Test Cases'!$A$2:$A$186,"EX-*",'Test Cases'!$K$2:$K$186,"Fail")</f>
        <v/>
      </c>
      <c r="F9" s="6">
        <f>COUNTIFS('Test Cases'!$A$2:$A$186,"EX-*",'Test Cases'!$K$2:$K$186,"Blocked")</f>
        <v/>
      </c>
      <c r="G9" s="6">
        <f>COUNTIFS('Test Cases'!$A$2:$A$186,"EX-*",'Test Cases'!$K$2:$K$186,"N/A")</f>
        <v/>
      </c>
      <c r="H9" s="6">
        <f>COUNTIFS('Test Cases'!$A$2:$A$186,"EX-*",'Test Cases'!$K$2:$K$186,"Not Run")</f>
        <v/>
      </c>
      <c r="I9" s="7">
        <f>IF(C9=0,0,(D9+E9+F9+G9)/C9)</f>
        <v/>
      </c>
      <c r="J9" s="7">
        <f>IF((D9+E9)=0,0,D9/(D9+E9))</f>
        <v/>
      </c>
    </row>
    <row r="10">
      <c r="A10" s="6" t="inlineStr">
        <is>
          <t>RU</t>
        </is>
      </c>
      <c r="B10" s="6" t="inlineStr">
        <is>
          <t>Data quality rules</t>
        </is>
      </c>
      <c r="C10" s="6">
        <f>COUNTIF('Test Cases'!$A$2:$A$186,"RU-*")</f>
        <v/>
      </c>
      <c r="D10" s="6">
        <f>COUNTIFS('Test Cases'!$A$2:$A$186,"RU-*",'Test Cases'!$K$2:$K$186,"Pass")</f>
        <v/>
      </c>
      <c r="E10" s="6">
        <f>COUNTIFS('Test Cases'!$A$2:$A$186,"RU-*",'Test Cases'!$K$2:$K$186,"Fail")</f>
        <v/>
      </c>
      <c r="F10" s="6">
        <f>COUNTIFS('Test Cases'!$A$2:$A$186,"RU-*",'Test Cases'!$K$2:$K$186,"Blocked")</f>
        <v/>
      </c>
      <c r="G10" s="6">
        <f>COUNTIFS('Test Cases'!$A$2:$A$186,"RU-*",'Test Cases'!$K$2:$K$186,"N/A")</f>
        <v/>
      </c>
      <c r="H10" s="6">
        <f>COUNTIFS('Test Cases'!$A$2:$A$186,"RU-*",'Test Cases'!$K$2:$K$186,"Not Run")</f>
        <v/>
      </c>
      <c r="I10" s="7">
        <f>IF(C10=0,0,(D10+E10+F10+G10)/C10)</f>
        <v/>
      </c>
      <c r="J10" s="7">
        <f>IF((D10+E10)=0,0,D10/(D10+E10))</f>
        <v/>
      </c>
    </row>
    <row r="11">
      <c r="A11" s="6" t="inlineStr">
        <is>
          <t>CL</t>
        </is>
      </c>
      <c r="B11" s="6" t="inlineStr">
        <is>
          <t>Batch close</t>
        </is>
      </c>
      <c r="C11" s="6">
        <f>COUNTIF('Test Cases'!$A$2:$A$186,"CL-*")</f>
        <v/>
      </c>
      <c r="D11" s="6">
        <f>COUNTIFS('Test Cases'!$A$2:$A$186,"CL-*",'Test Cases'!$K$2:$K$186,"Pass")</f>
        <v/>
      </c>
      <c r="E11" s="6">
        <f>COUNTIFS('Test Cases'!$A$2:$A$186,"CL-*",'Test Cases'!$K$2:$K$186,"Fail")</f>
        <v/>
      </c>
      <c r="F11" s="6">
        <f>COUNTIFS('Test Cases'!$A$2:$A$186,"CL-*",'Test Cases'!$K$2:$K$186,"Blocked")</f>
        <v/>
      </c>
      <c r="G11" s="6">
        <f>COUNTIFS('Test Cases'!$A$2:$A$186,"CL-*",'Test Cases'!$K$2:$K$186,"N/A")</f>
        <v/>
      </c>
      <c r="H11" s="6">
        <f>COUNTIFS('Test Cases'!$A$2:$A$186,"CL-*",'Test Cases'!$K$2:$K$186,"Not Run")</f>
        <v/>
      </c>
      <c r="I11" s="7">
        <f>IF(C11=0,0,(D11+E11+F11+G11)/C11)</f>
        <v/>
      </c>
      <c r="J11" s="7">
        <f>IF((D11+E11)=0,0,D11/(D11+E11))</f>
        <v/>
      </c>
    </row>
    <row r="12">
      <c r="A12" s="6" t="inlineStr">
        <is>
          <t>NT</t>
        </is>
      </c>
      <c r="B12" s="6" t="inlineStr">
        <is>
          <t>Notifications</t>
        </is>
      </c>
      <c r="C12" s="6">
        <f>COUNTIF('Test Cases'!$A$2:$A$186,"NT-*")</f>
        <v/>
      </c>
      <c r="D12" s="6">
        <f>COUNTIFS('Test Cases'!$A$2:$A$186,"NT-*",'Test Cases'!$K$2:$K$186,"Pass")</f>
        <v/>
      </c>
      <c r="E12" s="6">
        <f>COUNTIFS('Test Cases'!$A$2:$A$186,"NT-*",'Test Cases'!$K$2:$K$186,"Fail")</f>
        <v/>
      </c>
      <c r="F12" s="6">
        <f>COUNTIFS('Test Cases'!$A$2:$A$186,"NT-*",'Test Cases'!$K$2:$K$186,"Blocked")</f>
        <v/>
      </c>
      <c r="G12" s="6">
        <f>COUNTIFS('Test Cases'!$A$2:$A$186,"NT-*",'Test Cases'!$K$2:$K$186,"N/A")</f>
        <v/>
      </c>
      <c r="H12" s="6">
        <f>COUNTIFS('Test Cases'!$A$2:$A$186,"NT-*",'Test Cases'!$K$2:$K$186,"Not Run")</f>
        <v/>
      </c>
      <c r="I12" s="7">
        <f>IF(C12=0,0,(D12+E12+F12+G12)/C12)</f>
        <v/>
      </c>
      <c r="J12" s="7">
        <f>IF((D12+E12)=0,0,D12/(D12+E12))</f>
        <v/>
      </c>
    </row>
    <row r="13">
      <c r="A13" s="6" t="inlineStr">
        <is>
          <t>AF</t>
        </is>
      </c>
      <c r="B13" s="6" t="inlineStr">
        <is>
          <t>Airflow behaviour</t>
        </is>
      </c>
      <c r="C13" s="6">
        <f>COUNTIF('Test Cases'!$A$2:$A$186,"AF-*")</f>
        <v/>
      </c>
      <c r="D13" s="6">
        <f>COUNTIFS('Test Cases'!$A$2:$A$186,"AF-*",'Test Cases'!$K$2:$K$186,"Pass")</f>
        <v/>
      </c>
      <c r="E13" s="6">
        <f>COUNTIFS('Test Cases'!$A$2:$A$186,"AF-*",'Test Cases'!$K$2:$K$186,"Fail")</f>
        <v/>
      </c>
      <c r="F13" s="6">
        <f>COUNTIFS('Test Cases'!$A$2:$A$186,"AF-*",'Test Cases'!$K$2:$K$186,"Blocked")</f>
        <v/>
      </c>
      <c r="G13" s="6">
        <f>COUNTIFS('Test Cases'!$A$2:$A$186,"AF-*",'Test Cases'!$K$2:$K$186,"N/A")</f>
        <v/>
      </c>
      <c r="H13" s="6">
        <f>COUNTIFS('Test Cases'!$A$2:$A$186,"AF-*",'Test Cases'!$K$2:$K$186,"Not Run")</f>
        <v/>
      </c>
      <c r="I13" s="7">
        <f>IF(C13=0,0,(D13+E13+F13+G13)/C13)</f>
        <v/>
      </c>
      <c r="J13" s="7">
        <f>IF((D13+E13)=0,0,D13/(D13+E13))</f>
        <v/>
      </c>
    </row>
    <row r="14">
      <c r="A14" s="6" t="inlineStr">
        <is>
          <t>AD</t>
        </is>
      </c>
      <c r="B14" s="6" t="inlineStr">
        <is>
          <t>Admin commands</t>
        </is>
      </c>
      <c r="C14" s="6">
        <f>COUNTIF('Test Cases'!$A$2:$A$186,"AD-*")</f>
        <v/>
      </c>
      <c r="D14" s="6">
        <f>COUNTIFS('Test Cases'!$A$2:$A$186,"AD-*",'Test Cases'!$K$2:$K$186,"Pass")</f>
        <v/>
      </c>
      <c r="E14" s="6">
        <f>COUNTIFS('Test Cases'!$A$2:$A$186,"AD-*",'Test Cases'!$K$2:$K$186,"Fail")</f>
        <v/>
      </c>
      <c r="F14" s="6">
        <f>COUNTIFS('Test Cases'!$A$2:$A$186,"AD-*",'Test Cases'!$K$2:$K$186,"Blocked")</f>
        <v/>
      </c>
      <c r="G14" s="6">
        <f>COUNTIFS('Test Cases'!$A$2:$A$186,"AD-*",'Test Cases'!$K$2:$K$186,"N/A")</f>
        <v/>
      </c>
      <c r="H14" s="6">
        <f>COUNTIFS('Test Cases'!$A$2:$A$186,"AD-*",'Test Cases'!$K$2:$K$186,"Not Run")</f>
        <v/>
      </c>
      <c r="I14" s="7">
        <f>IF(C14=0,0,(D14+E14+F14+G14)/C14)</f>
        <v/>
      </c>
      <c r="J14" s="7">
        <f>IF((D14+E14)=0,0,D14/(D14+E14))</f>
        <v/>
      </c>
    </row>
    <row r="15">
      <c r="A15" s="6" t="inlineStr">
        <is>
          <t>LG</t>
        </is>
      </c>
      <c r="B15" s="6" t="inlineStr">
        <is>
          <t>Logging and security</t>
        </is>
      </c>
      <c r="C15" s="6">
        <f>COUNTIF('Test Cases'!$A$2:$A$186,"LG-*")</f>
        <v/>
      </c>
      <c r="D15" s="6">
        <f>COUNTIFS('Test Cases'!$A$2:$A$186,"LG-*",'Test Cases'!$K$2:$K$186,"Pass")</f>
        <v/>
      </c>
      <c r="E15" s="6">
        <f>COUNTIFS('Test Cases'!$A$2:$A$186,"LG-*",'Test Cases'!$K$2:$K$186,"Fail")</f>
        <v/>
      </c>
      <c r="F15" s="6">
        <f>COUNTIFS('Test Cases'!$A$2:$A$186,"LG-*",'Test Cases'!$K$2:$K$186,"Blocked")</f>
        <v/>
      </c>
      <c r="G15" s="6">
        <f>COUNTIFS('Test Cases'!$A$2:$A$186,"LG-*",'Test Cases'!$K$2:$K$186,"N/A")</f>
        <v/>
      </c>
      <c r="H15" s="6">
        <f>COUNTIFS('Test Cases'!$A$2:$A$186,"LG-*",'Test Cases'!$K$2:$K$186,"Not Run")</f>
        <v/>
      </c>
      <c r="I15" s="7">
        <f>IF(C15=0,0,(D15+E15+F15+G15)/C15)</f>
        <v/>
      </c>
      <c r="J15" s="7">
        <f>IF((D15+E15)=0,0,D15/(D15+E15))</f>
        <v/>
      </c>
    </row>
    <row r="16">
      <c r="A16" s="6" t="inlineStr">
        <is>
          <t>E2E</t>
        </is>
      </c>
      <c r="B16" s="6" t="inlineStr">
        <is>
          <t>End-to-end scenarios</t>
        </is>
      </c>
      <c r="C16" s="6">
        <f>COUNTIF('Test Cases'!$A$2:$A$186,"E2E-*")</f>
        <v/>
      </c>
      <c r="D16" s="6">
        <f>COUNTIFS('Test Cases'!$A$2:$A$186,"E2E-*",'Test Cases'!$K$2:$K$186,"Pass")</f>
        <v/>
      </c>
      <c r="E16" s="6">
        <f>COUNTIFS('Test Cases'!$A$2:$A$186,"E2E-*",'Test Cases'!$K$2:$K$186,"Fail")</f>
        <v/>
      </c>
      <c r="F16" s="6">
        <f>COUNTIFS('Test Cases'!$A$2:$A$186,"E2E-*",'Test Cases'!$K$2:$K$186,"Blocked")</f>
        <v/>
      </c>
      <c r="G16" s="6">
        <f>COUNTIFS('Test Cases'!$A$2:$A$186,"E2E-*",'Test Cases'!$K$2:$K$186,"N/A")</f>
        <v/>
      </c>
      <c r="H16" s="6">
        <f>COUNTIFS('Test Cases'!$A$2:$A$186,"E2E-*",'Test Cases'!$K$2:$K$186,"Not Run")</f>
        <v/>
      </c>
      <c r="I16" s="7">
        <f>IF(C16=0,0,(D16+E16+F16+G16)/C16)</f>
        <v/>
      </c>
      <c r="J16" s="7">
        <f>IF((D16+E16)=0,0,D16/(D16+E16))</f>
        <v/>
      </c>
    </row>
    <row r="17">
      <c r="A17" s="6" t="inlineStr">
        <is>
          <t>UP</t>
        </is>
      </c>
      <c r="B17" s="6" t="inlineStr">
        <is>
          <t>Upgrade statements</t>
        </is>
      </c>
      <c r="C17" s="6">
        <f>COUNTIF('Test Cases'!$A$2:$A$186,"UP-*")</f>
        <v/>
      </c>
      <c r="D17" s="6">
        <f>COUNTIFS('Test Cases'!$A$2:$A$186,"UP-*",'Test Cases'!$K$2:$K$186,"Pass")</f>
        <v/>
      </c>
      <c r="E17" s="6">
        <f>COUNTIFS('Test Cases'!$A$2:$A$186,"UP-*",'Test Cases'!$K$2:$K$186,"Fail")</f>
        <v/>
      </c>
      <c r="F17" s="6">
        <f>COUNTIFS('Test Cases'!$A$2:$A$186,"UP-*",'Test Cases'!$K$2:$K$186,"Blocked")</f>
        <v/>
      </c>
      <c r="G17" s="6">
        <f>COUNTIFS('Test Cases'!$A$2:$A$186,"UP-*",'Test Cases'!$K$2:$K$186,"N/A")</f>
        <v/>
      </c>
      <c r="H17" s="6">
        <f>COUNTIFS('Test Cases'!$A$2:$A$186,"UP-*",'Test Cases'!$K$2:$K$186,"Not Run")</f>
        <v/>
      </c>
      <c r="I17" s="7">
        <f>IF(C17=0,0,(D17+E17+F17+G17)/C17)</f>
        <v/>
      </c>
      <c r="J17" s="7">
        <f>IF((D17+E17)=0,0,D17/(D17+E17))</f>
        <v/>
      </c>
    </row>
    <row r="18">
      <c r="A18" s="8" t="n"/>
      <c r="B18" s="8" t="inlineStr">
        <is>
          <t>Total</t>
        </is>
      </c>
      <c r="C18" s="8">
        <f>SUM(C2:C17)</f>
        <v/>
      </c>
      <c r="D18" s="8">
        <f>SUM(D2:D17)</f>
        <v/>
      </c>
      <c r="E18" s="8">
        <f>SUM(E2:E17)</f>
        <v/>
      </c>
      <c r="F18" s="8">
        <f>SUM(F2:F17)</f>
        <v/>
      </c>
      <c r="G18" s="8">
        <f>SUM(G2:G17)</f>
        <v/>
      </c>
      <c r="H18" s="8">
        <f>SUM(H2:H17)</f>
        <v/>
      </c>
      <c r="I18" s="9">
        <f>IF(C18=0,0,(D18+E18+F18+G18)/C18)</f>
        <v/>
      </c>
      <c r="J18" s="9">
        <f>IF((D18+E18)=0,0,D18/(D18+E18))</f>
        <v/>
      </c>
    </row>
    <row r="20">
      <c r="A20" s="10" t="inlineStr">
        <is>
          <t>Counts update from the Status column of sheet Test Cases.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6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6" customWidth="1" min="3" max="3"/>
    <col width="40" customWidth="1" min="4" max="4"/>
    <col width="34" customWidth="1" min="5" max="5"/>
    <col width="55" customWidth="1" min="6" max="6"/>
    <col width="45" customWidth="1" min="7" max="7"/>
    <col width="45" customWidth="1" min="8" max="8"/>
    <col width="70" customWidth="1" min="9" max="9"/>
    <col width="55" customWidth="1" min="10" max="10"/>
    <col width="11" customWidth="1" min="11" max="11"/>
    <col width="35" customWidth="1" min="12" max="12"/>
    <col width="12" customWidth="1" min="13" max="13"/>
    <col width="12" customWidth="1" min="14" max="14"/>
    <col width="22" customWidth="1" min="15" max="15"/>
    <col width="26" customWidth="1" min="16" max="16"/>
    <col width="30" customWidth="1" min="17" max="17"/>
  </cols>
  <sheetData>
    <row r="1">
      <c r="A1" s="11" t="inlineStr">
        <is>
          <t>ID</t>
        </is>
      </c>
      <c r="B1" s="11" t="inlineStr">
        <is>
          <t>Area</t>
        </is>
      </c>
      <c r="C1" s="11" t="inlineStr">
        <is>
          <t>Test Case</t>
        </is>
      </c>
      <c r="D1" s="11" t="inlineStr">
        <is>
          <t>Description</t>
        </is>
      </c>
      <c r="E1" s="11" t="inlineStr">
        <is>
          <t>Precondition</t>
        </is>
      </c>
      <c r="F1" s="11" t="inlineStr">
        <is>
          <t>Setup SQL</t>
        </is>
      </c>
      <c r="G1" s="11" t="inlineStr">
        <is>
          <t>Job to Execute</t>
        </is>
      </c>
      <c r="H1" s="11" t="inlineStr">
        <is>
          <t>Test Steps</t>
        </is>
      </c>
      <c r="I1" s="11" t="inlineStr">
        <is>
          <t>Verification SQL</t>
        </is>
      </c>
      <c r="J1" s="11" t="inlineStr">
        <is>
          <t>Expected Result</t>
        </is>
      </c>
      <c r="K1" s="11" t="inlineStr">
        <is>
          <t>Status</t>
        </is>
      </c>
      <c r="L1" s="11" t="inlineStr">
        <is>
          <t>Actual Result</t>
        </is>
      </c>
      <c r="M1" s="11" t="inlineStr">
        <is>
          <t>Tester</t>
        </is>
      </c>
      <c r="N1" s="11" t="inlineStr">
        <is>
          <t>Test Date</t>
        </is>
      </c>
      <c r="O1" s="11" t="inlineStr">
        <is>
          <t>DAG Run ID</t>
        </is>
      </c>
      <c r="P1" s="11" t="inlineStr">
        <is>
          <t>Batch ID / Load ID</t>
        </is>
      </c>
      <c r="Q1" s="11" t="inlineStr">
        <is>
          <t>Defect / Comments</t>
        </is>
      </c>
    </row>
    <row r="2">
      <c r="A2" s="12" t="inlineStr">
        <is>
          <t>CFG-01</t>
        </is>
      </c>
      <c r="B2" s="13" t="inlineStr">
        <is>
          <t>Setup and configuration</t>
        </is>
      </c>
      <c r="C2" s="13" t="inlineStr">
        <is>
          <t>Configuration valid</t>
        </is>
      </c>
      <c r="D2" s="13" t="inlineStr">
        <is>
          <t>python -m compliance_framework.cli validate-config on a worker</t>
        </is>
      </c>
      <c r="E2" s="13" t="inlineStr"/>
      <c r="F2" s="14" t="inlineStr"/>
      <c r="G2" s="13" t="inlineStr">
        <is>
          <t>Worker shell (TERADATA_* and FRAMEWORK_METADATA_SCHEMA=HSABC_DEV set):
python -m compliance_framework.cli validate-config</t>
        </is>
      </c>
      <c r="H2" s="13" t="inlineStr">
        <is>
          <t>1. Check the precondition
2. Prepare the input: python -m compliance_framework.cli validate-config on a worker
3. Run the job
4. Check the task log / step report
5. Compare with the expected result and record the outcome</t>
        </is>
      </c>
      <c r="I2" s="14" t="inlineStr"/>
      <c r="J2" s="13" t="inlineStr">
        <is>
          <t>No ERROR except the known ones (Facets 210 until configured); WARNINGs read and accepted</t>
        </is>
      </c>
      <c r="K2" s="15" t="inlineStr">
        <is>
          <t>Not Run</t>
        </is>
      </c>
      <c r="L2" s="15" t="inlineStr"/>
      <c r="M2" s="15" t="inlineStr"/>
      <c r="N2" s="15" t="inlineStr"/>
      <c r="O2" s="15" t="inlineStr"/>
      <c r="P2" s="15" t="inlineStr"/>
      <c r="Q2" s="15" t="inlineStr"/>
    </row>
    <row r="3">
      <c r="A3" s="12" t="inlineStr">
        <is>
          <t>CFG-02</t>
        </is>
      </c>
      <c r="B3" s="13" t="inlineStr">
        <is>
          <t>Setup and configuration</t>
        </is>
      </c>
      <c r="C3" s="13" t="inlineStr">
        <is>
          <t>Unknown run type in crosswalk</t>
        </is>
      </c>
      <c r="D3" s="13" t="inlineStr">
        <is>
          <t>Set a crosswalk Run_Ty to 'DLY,XYZ'; validate</t>
        </is>
      </c>
      <c r="E3" s="13" t="inlineStr"/>
      <c r="F3" s="14" t="inlineStr">
        <is>
          <t>UPDATE HSABC_DEV.ComplianceDataSetSourceXwalk SET Run_Ty = 'DLY,XYZ'
WHERE Project_Cd = 'CMSUNIV' AND Table_Nm = 'ODAG3' AND Src_ID = '51';
-- revert after: SET Run_Ty = 'DLY,MNT'</t>
        </is>
      </c>
      <c r="G3" s="13" t="inlineStr">
        <is>
          <t>Worker shell (TERADATA_* and FRAMEWORK_METADATA_SCHEMA=HSABC_DEV set):
python -m compliance_framework.cli validate-config</t>
        </is>
      </c>
      <c r="H3" s="13" t="inlineStr">
        <is>
          <t>1. Check the precondition and run the setup SQL
2. Prepare the input: Set a crosswalk Run_Ty to 'DLY,XYZ'; validate
3. Run the job
4. Check the task log / step report
5. Compare with the expected result and record the outcome
6. Revert the setup change</t>
        </is>
      </c>
      <c r="I3" s="14" t="inlineStr"/>
      <c r="J3" s="13" t="inlineStr">
        <is>
          <t>XWALK_RUN_TYPE error naming XYZ; revert</t>
        </is>
      </c>
      <c r="K3" s="15" t="inlineStr">
        <is>
          <t>Not Run</t>
        </is>
      </c>
      <c r="L3" s="15" t="inlineStr"/>
      <c r="M3" s="15" t="inlineStr"/>
      <c r="N3" s="15" t="inlineStr"/>
      <c r="O3" s="15" t="inlineStr"/>
      <c r="P3" s="15" t="inlineStr"/>
      <c r="Q3" s="15" t="inlineStr"/>
    </row>
    <row r="4">
      <c r="A4" s="12" t="inlineStr">
        <is>
          <t>CFG-03</t>
        </is>
      </c>
      <c r="B4" s="13" t="inlineStr">
        <is>
          <t>Setup and configuration</t>
        </is>
      </c>
      <c r="C4" s="13" t="inlineStr">
        <is>
          <t>Missing source config</t>
        </is>
      </c>
      <c r="D4" s="13" t="inlineStr">
        <is>
          <t>Crosswalk row for a source with no file / internal config</t>
        </is>
      </c>
      <c r="E4" s="13" t="inlineStr"/>
      <c r="F4" s="14" t="inlineStr">
        <is>
          <t>UPDATE HSABC_DEV.ComplianceSourceFileConfig SET Active_Ind = 0 WHERE Project_Cd = 'CMSUNIV' AND Table_Nm = 'ODAG3' AND Src_ID = '51';
-- revert after: SET Active_Ind = 1</t>
        </is>
      </c>
      <c r="G4" s="13" t="inlineStr">
        <is>
          <t>Worker shell (TERADATA_* and FRAMEWORK_METADATA_SCHEMA=HSABC_DEV set):
python -m compliance_framework.cli validate-config</t>
        </is>
      </c>
      <c r="H4" s="13" t="inlineStr">
        <is>
          <t>1. Check the precondition and run the setup SQL
2. Prepare the input: Crosswalk row for a source with no file / internal config
3. Run the job
4. Check the task log / step report
5. Compare with the expected result and record the outcome
6. Revert the setup change</t>
        </is>
      </c>
      <c r="I4" s="14" t="inlineStr"/>
      <c r="J4" s="13" t="inlineStr">
        <is>
          <t>XWALK_NO_FILE_CONFIG</t>
        </is>
      </c>
      <c r="K4" s="15" t="inlineStr">
        <is>
          <t>Not Run</t>
        </is>
      </c>
      <c r="L4" s="15" t="inlineStr"/>
      <c r="M4" s="15" t="inlineStr"/>
      <c r="N4" s="15" t="inlineStr"/>
      <c r="O4" s="15" t="inlineStr"/>
      <c r="P4" s="15" t="inlineStr"/>
      <c r="Q4" s="15" t="inlineStr"/>
    </row>
    <row r="5">
      <c r="A5" s="12" t="inlineStr">
        <is>
          <t>CFG-04</t>
        </is>
      </c>
      <c r="B5" s="13" t="inlineStr">
        <is>
          <t>Setup and configuration</t>
        </is>
      </c>
      <c r="C5" s="13" t="inlineStr">
        <is>
          <t>Period row with code and SQL</t>
        </is>
      </c>
      <c r="D5" s="13" t="inlineStr">
        <is>
          <t>Set both Rpt_Period_Cd and Rpt_Dt_Sql_Txt on one ComplianceRunTypePeriod row</t>
        </is>
      </c>
      <c r="E5" s="13" t="inlineStr"/>
      <c r="F5" s="14" t="inlineStr">
        <is>
          <t>UPDATE HSABC_DEV.ComplianceRunTypePeriod SET Rpt_Dt_Sql_Txt = 'SELECT CURRENT_DATE AS rpt_start, CURRENT_DATE AS rpt_end'
WHERE Project_Cd = 'CMSUNIV' AND Table_Nm = '*' AND Run_Ty = 'DLY';
-- revert after: SET Rpt_Dt_Sql_Txt = NULL</t>
        </is>
      </c>
      <c r="G5" s="13" t="inlineStr">
        <is>
          <t>Worker shell (TERADATA_* and FRAMEWORK_METADATA_SCHEMA=HSABC_DEV set):
python -m compliance_framework.cli validate-config</t>
        </is>
      </c>
      <c r="H5" s="13" t="inlineStr">
        <is>
          <t>1. Check the precondition and run the setup SQL
2. Prepare the input: Set both Rpt_Period_Cd and Rpt_Dt_Sql_Txt on one ComplianceRunTypePeriod row
3. Run the job
4. Check the task log / step report
5. Compare with the expected result and record the outcome
6. Revert the setup change</t>
        </is>
      </c>
      <c r="I5" s="14" t="inlineStr"/>
      <c r="J5" s="13" t="inlineStr">
        <is>
          <t>RUN_TYPE_PERIOD: "not both (the code is used)"</t>
        </is>
      </c>
      <c r="K5" s="15" t="inlineStr">
        <is>
          <t>Not Run</t>
        </is>
      </c>
      <c r="L5" s="15" t="inlineStr"/>
      <c r="M5" s="15" t="inlineStr"/>
      <c r="N5" s="15" t="inlineStr"/>
      <c r="O5" s="15" t="inlineStr"/>
      <c r="P5" s="15" t="inlineStr"/>
      <c r="Q5" s="15" t="inlineStr"/>
    </row>
    <row r="6">
      <c r="A6" s="12" t="inlineStr">
        <is>
          <t>CFG-05</t>
        </is>
      </c>
      <c r="B6" s="13" t="inlineStr">
        <is>
          <t>Setup and configuration</t>
        </is>
      </c>
      <c r="C6" s="13" t="inlineStr">
        <is>
          <t>Bad period code</t>
        </is>
      </c>
      <c r="D6" s="13" t="inlineStr">
        <is>
          <t>Rpt_Period_Cd = 'PREV_DAYS'</t>
        </is>
      </c>
      <c r="E6" s="13" t="inlineStr"/>
      <c r="F6" s="14" t="inlineStr">
        <is>
          <t>UPDATE HSABC_DEV.ComplianceRunTypePeriod SET Rpt_Period_Cd = 'PREV_DAYS' WHERE Project_Cd = 'CMSUNIV' AND Table_Nm = '*' AND Run_Ty = 'DLY';
-- revert after: SET Rpt_Period_Cd = 'PREV_DAY'</t>
        </is>
      </c>
      <c r="G6" s="13" t="inlineStr">
        <is>
          <t>Worker shell (TERADATA_* and FRAMEWORK_METADATA_SCHEMA=HSABC_DEV set):
python -m compliance_framework.cli validate-config</t>
        </is>
      </c>
      <c r="H6" s="13" t="inlineStr">
        <is>
          <t>1. Check the precondition and run the setup SQL
2. Prepare the input: Rpt_Period_Cd = 'PREV_DAYS'
3. Run the job
4. Check the task log / step report
5. Compare with the expected result and record the outcome
6. Revert the setup change</t>
        </is>
      </c>
      <c r="I6" s="14" t="inlineStr"/>
      <c r="J6" s="13" t="inlineStr">
        <is>
          <t>RPT_PERIOD error</t>
        </is>
      </c>
      <c r="K6" s="15" t="inlineStr">
        <is>
          <t>Not Run</t>
        </is>
      </c>
      <c r="L6" s="15" t="inlineStr"/>
      <c r="M6" s="15" t="inlineStr"/>
      <c r="N6" s="15" t="inlineStr"/>
      <c r="O6" s="15" t="inlineStr"/>
      <c r="P6" s="15" t="inlineStr"/>
      <c r="Q6" s="15" t="inlineStr"/>
    </row>
    <row r="7">
      <c r="A7" s="12" t="inlineStr">
        <is>
          <t>CFG-06</t>
        </is>
      </c>
      <c r="B7" s="13" t="inlineStr">
        <is>
          <t>Setup and configuration</t>
        </is>
      </c>
      <c r="C7" s="13" t="inlineStr">
        <is>
          <t>Crosswalk row with code and SQL</t>
        </is>
      </c>
      <c r="D7" s="13" t="inlineStr">
        <is>
          <t>Both on one crosswalk row</t>
        </is>
      </c>
      <c r="E7" s="13" t="inlineStr"/>
      <c r="F7" s="14" t="inlineStr">
        <is>
          <t>UPDATE HSABC_DEV.ComplianceDataSetSourceXwalk SET Rpt_Period_Cd = 'PREV_DAY', Rpt_Dt_Sql_Txt = 'SELECT 1'
WHERE Project_Cd = 'CMSUNIV' AND Table_Nm = 'ODAG3' AND Src_ID = '51';
-- revert after: SET both = NULL</t>
        </is>
      </c>
      <c r="G7" s="13" t="inlineStr">
        <is>
          <t>Worker shell (TERADATA_* and FRAMEWORK_METADATA_SCHEMA=HSABC_DEV set):
python -m compliance_framework.cli validate-config</t>
        </is>
      </c>
      <c r="H7" s="13" t="inlineStr">
        <is>
          <t>1. Check the precondition and run the setup SQL
2. Prepare the input: Both on one crosswalk row
3. Run the job
4. Check the task log / step report
5. Compare with the expected result and record the outcome
6. Revert the setup change</t>
        </is>
      </c>
      <c r="I7" s="14" t="inlineStr"/>
      <c r="J7" s="13" t="inlineStr">
        <is>
          <t>RPT_PERIOD "not both"</t>
        </is>
      </c>
      <c r="K7" s="15" t="inlineStr">
        <is>
          <t>Not Run</t>
        </is>
      </c>
      <c r="L7" s="15" t="inlineStr"/>
      <c r="M7" s="15" t="inlineStr"/>
      <c r="N7" s="15" t="inlineStr"/>
      <c r="O7" s="15" t="inlineStr"/>
      <c r="P7" s="15" t="inlineStr"/>
      <c r="Q7" s="15" t="inlineStr"/>
    </row>
    <row r="8">
      <c r="A8" s="12" t="inlineStr">
        <is>
          <t>CFG-07</t>
        </is>
      </c>
      <c r="B8" s="13" t="inlineStr">
        <is>
          <t>Setup and configuration</t>
        </is>
      </c>
      <c r="C8" s="13" t="inlineStr">
        <is>
          <t>Export statement checks</t>
        </is>
      </c>
      <c r="D8" s="13" t="inlineStr">
        <is>
          <t>Exp_Pre_Sql_Txt with {batch}; Exp_Post_Sql_Txt with two statements; Exp_Sql_Txt an UPDATE</t>
        </is>
      </c>
      <c r="E8" s="13" t="inlineStr"/>
      <c r="F8" s="14" t="inlineStr">
        <is>
          <t>UPDATE HSABC_DEV.ComplianceExportConfig SET Exp_Pre_Sql_Txt = 'DELETE FROM x WHERE y = {batch}',
  Exp_Post_Sql_Txt = 'DELETE FROM x; DELETE FROM y', Exp_Sql_Txt = 'UPDATE x SET y = 1'
WHERE Project_Cd = 'CMSUNIV' AND Table_Nm = 'ODAG3';
-- revert after: SET all three = NULL</t>
        </is>
      </c>
      <c r="G8" s="13" t="inlineStr">
        <is>
          <t>Worker shell (TERADATA_* and FRAMEWORK_METADATA_SCHEMA=HSABC_DEV set):
python -m compliance_framework.cli validate-config</t>
        </is>
      </c>
      <c r="H8" s="13" t="inlineStr">
        <is>
          <t>1. Check the precondition and run the setup SQL
2. Prepare the input: Exp_Pre_Sql_Txt with {batch}; Exp_Post_Sql_Txt with two statements; Exp_Sql_Txt an UPDATE
3. Run the job
4. Check the task log / step report
5. Compare with the expected result and record the outcome
6. Revert the setup change</t>
        </is>
      </c>
      <c r="I8" s="14" t="inlineStr"/>
      <c r="J8" s="13" t="inlineStr">
        <is>
          <t>EXPORT_CONFIG errors: unknown placeholder, "one statement", "must be a SELECT"</t>
        </is>
      </c>
      <c r="K8" s="15" t="inlineStr">
        <is>
          <t>Not Run</t>
        </is>
      </c>
      <c r="L8" s="15" t="inlineStr"/>
      <c r="M8" s="15" t="inlineStr"/>
      <c r="N8" s="15" t="inlineStr"/>
      <c r="O8" s="15" t="inlineStr"/>
      <c r="P8" s="15" t="inlineStr"/>
      <c r="Q8" s="15" t="inlineStr"/>
    </row>
    <row r="9">
      <c r="A9" s="12" t="inlineStr">
        <is>
          <t>CFG-08</t>
        </is>
      </c>
      <c r="B9" s="13" t="inlineStr">
        <is>
          <t>Setup and configuration</t>
        </is>
      </c>
      <c r="C9" s="13" t="inlineStr">
        <is>
          <t>Staging ↔ core pairing shown</t>
        </is>
      </c>
      <c r="D9" s="13" t="inlineStr">
        <is>
          <t>Validate with SNPCC1 (staging Member…, core Enrollee…)</t>
        </is>
      </c>
      <c r="E9" s="13" t="inlineStr"/>
      <c r="F9" s="14" t="inlineStr"/>
      <c r="G9" s="13" t="inlineStr">
        <is>
          <t>Worker shell (TERADATA_* and FRAMEWORK_METADATA_SCHEMA=HSABC_DEV set):
python -m compliance_framework.cli validate-config</t>
        </is>
      </c>
      <c r="H9" s="13" t="inlineStr">
        <is>
          <t>1. Check the precondition
2. Prepare the input: Validate with SNPCC1 (staging Member…, core Enrollee…)
3. Run the job
4. Check the task log / step report
5. Compare with the expected result and record the outcome</t>
        </is>
      </c>
      <c r="I9" s="14" t="inlineStr"/>
      <c r="J9" s="13" t="inlineStr">
        <is>
          <t>Log line staging -&gt; core by column position: memberfirstname -&gt; enrolleefirstname, …</t>
        </is>
      </c>
      <c r="K9" s="15" t="inlineStr">
        <is>
          <t>Not Run</t>
        </is>
      </c>
      <c r="L9" s="15" t="inlineStr"/>
      <c r="M9" s="15" t="inlineStr"/>
      <c r="N9" s="15" t="inlineStr"/>
      <c r="O9" s="15" t="inlineStr"/>
      <c r="P9" s="15" t="inlineStr"/>
      <c r="Q9" s="15" t="inlineStr"/>
    </row>
    <row r="10">
      <c r="A10" s="12" t="inlineStr">
        <is>
          <t>CFG-09</t>
        </is>
      </c>
      <c r="B10" s="13" t="inlineStr">
        <is>
          <t>Setup and configuration</t>
        </is>
      </c>
      <c r="C10" s="13" t="inlineStr">
        <is>
          <t>Template overlap</t>
        </is>
      </c>
      <c r="D10" s="13" t="inlineStr">
        <is>
          <t>Two file configs whose templates match the same name</t>
        </is>
      </c>
      <c r="E10" s="13" t="inlineStr"/>
      <c r="F10" s="14" t="inlineStr"/>
      <c r="G10" s="13" t="inlineStr">
        <is>
          <t>Worker shell (TERADATA_* and FRAMEWORK_METADATA_SCHEMA=HSABC_DEV set):
python -m compliance_framework.cli validate-config</t>
        </is>
      </c>
      <c r="H10" s="13" t="inlineStr">
        <is>
          <t>1. Check the precondition
2. Prepare the input: Two file configs whose templates match the same name
3. Run the job
4. Check the task log / step report
5. Compare with the expected result and record the outcome</t>
        </is>
      </c>
      <c r="I10" s="14" t="inlineStr"/>
      <c r="J10" s="13" t="inlineStr">
        <is>
          <t>TEMPLATE_OVERLAP</t>
        </is>
      </c>
      <c r="K10" s="15" t="inlineStr">
        <is>
          <t>Not Run</t>
        </is>
      </c>
      <c r="L10" s="15" t="inlineStr"/>
      <c r="M10" s="15" t="inlineStr"/>
      <c r="N10" s="15" t="inlineStr"/>
      <c r="O10" s="15" t="inlineStr"/>
      <c r="P10" s="15" t="inlineStr"/>
      <c r="Q10" s="15" t="inlineStr"/>
    </row>
    <row r="11">
      <c r="A11" s="12" t="inlineStr">
        <is>
          <t>CFG-10</t>
        </is>
      </c>
      <c r="B11" s="13" t="inlineStr">
        <is>
          <t>Setup and configuration</t>
        </is>
      </c>
      <c r="C11" s="13" t="inlineStr">
        <is>
          <t>Test connections</t>
        </is>
      </c>
      <c r="D11" s="13" t="inlineStr">
        <is>
          <t>test-connection</t>
        </is>
      </c>
      <c r="E11" s="13" t="inlineStr"/>
      <c r="F11" s="14" t="inlineStr"/>
      <c r="G11" s="13" t="inlineStr">
        <is>
          <t>Worker shell (TERADATA_* and FRAMEWORK_METADATA_SCHEMA=HSABC_DEV set):
python -m compliance_framework.cli test-connection</t>
        </is>
      </c>
      <c r="H11" s="13" t="inlineStr">
        <is>
          <t>1. Check the precondition
2. Prepare the input: test-connection
3. Run the job
4. Check the task log / step report
5. Compare with the expected result and record the outcome</t>
        </is>
      </c>
      <c r="I11" s="14" t="inlineStr"/>
      <c r="J11" s="13" t="inlineStr">
        <is>
          <t>Teradata and NAS OK; failures show the reason, no password</t>
        </is>
      </c>
      <c r="K11" s="15" t="inlineStr">
        <is>
          <t>Not Run</t>
        </is>
      </c>
      <c r="L11" s="15" t="inlineStr"/>
      <c r="M11" s="15" t="inlineStr"/>
      <c r="N11" s="15" t="inlineStr"/>
      <c r="O11" s="15" t="inlineStr"/>
      <c r="P11" s="15" t="inlineStr"/>
      <c r="Q11" s="15" t="inlineStr"/>
    </row>
    <row r="12">
      <c r="A12" s="12" t="inlineStr">
        <is>
          <t>CFG-11</t>
        </is>
      </c>
      <c r="B12" s="13" t="inlineStr">
        <is>
          <t>Setup and configuration</t>
        </is>
      </c>
      <c r="C12" s="13" t="inlineStr">
        <is>
          <t>Missing framework table</t>
        </is>
      </c>
      <c r="D12" s="13" t="inlineStr">
        <is>
          <t>Rename ComplianceFileLoad (DEV only), run FILE_LOAD, rename back</t>
        </is>
      </c>
      <c r="E12" s="13" t="inlineStr"/>
      <c r="F12" s="14" t="inlineStr">
        <is>
          <t>RENAME TABLE HSABC_DEV.ComplianceFileLoad TO HSABC_DEV.ComplianceFileLoad_x;  -- DEV only
-- revert after: RENAME TABLE HSABC_DEV.ComplianceFileLoad_x TO HSABC_DEV.ComplianceFileLoad;</t>
        </is>
      </c>
      <c r="G12" s="13" t="inlineStr">
        <is>
          <t>Airflow DAG OSSTD_CORE_CMS_COMPLIANCE_FILE_LOAD
Trigger DAG w/ config:
{"project": "CMSUNIV"}</t>
        </is>
      </c>
      <c r="H12" s="13" t="inlineStr">
        <is>
          <t>1. Check the precondition and run the setup SQL
2. Prepare the input: Rename ComplianceFileLoad (DEV only), run FILE_LOAD, rename back
3. Run the job
4. Run the verification SQL (replace &lt;batch&gt;, &lt;table&gt;)
5. Compare with the expected result and record the outcome
6. Revert the setup change</t>
        </is>
      </c>
      <c r="I12" s="14" t="inlineStr">
        <is>
          <t>SELECT TableName FROM DBC.TablesV WHERE DatabaseName = 'HSABC_DEV'
 AND (TableName LIKE 'Compliance%' OR TableName = 'CMS_ComplianceExceptionsAudit') ORDER BY 1;</t>
        </is>
      </c>
      <c r="J12" s="13" t="inlineStr">
        <is>
          <t>Load PROCESS_FAILURE / step "COULD NOT RUN" with error 3807; retried; nothing half done</t>
        </is>
      </c>
      <c r="K12" s="15" t="inlineStr">
        <is>
          <t>Not Run</t>
        </is>
      </c>
      <c r="L12" s="15" t="inlineStr"/>
      <c r="M12" s="15" t="inlineStr"/>
      <c r="N12" s="15" t="inlineStr"/>
      <c r="O12" s="15" t="inlineStr"/>
      <c r="P12" s="15" t="inlineStr"/>
      <c r="Q12" s="15" t="inlineStr"/>
    </row>
    <row r="13">
      <c r="A13" s="12" t="inlineStr">
        <is>
          <t>CFG-12</t>
        </is>
      </c>
      <c r="B13" s="13" t="inlineStr">
        <is>
          <t>Setup and configuration</t>
        </is>
      </c>
      <c r="C13" s="13" t="inlineStr">
        <is>
          <t>Variables minimal</t>
        </is>
      </c>
      <c r="D13" s="13" t="inlineStr">
        <is>
          <t>Open each Variable</t>
        </is>
      </c>
      <c r="E13" s="13" t="inlineStr"/>
      <c r="F13" s="14" t="inlineStr"/>
      <c r="G13" s="13" t="inlineStr">
        <is>
          <t>Airflow Admin -&gt; Variables (review only)</t>
        </is>
      </c>
      <c r="H13" s="13" t="inlineStr">
        <is>
          <t>1. Check the precondition
2. Prepare the input: Open each Variable
3. Run the job
4. Check the task log / step report
5. Compare with the expected result and record the outcome</t>
        </is>
      </c>
      <c r="I13" s="14" t="inlineStr"/>
      <c r="J13" s="13" t="inlineStr">
        <is>
          <t>Only td_conn_var, meta_db, load_env, email_recipient, project (+ trigger_dags, FILE_CHECK settings, FILE_RULES pool, EXPORT_LOAD wait_for_triggered)</t>
        </is>
      </c>
      <c r="K13" s="15" t="inlineStr">
        <is>
          <t>Not Run</t>
        </is>
      </c>
      <c r="L13" s="15" t="inlineStr"/>
      <c r="M13" s="15" t="inlineStr"/>
      <c r="N13" s="15" t="inlineStr"/>
      <c r="O13" s="15" t="inlineStr"/>
      <c r="P13" s="15" t="inlineStr"/>
      <c r="Q13" s="15" t="inlineStr"/>
    </row>
    <row r="14">
      <c r="A14" s="12" t="inlineStr">
        <is>
          <t>BC-01</t>
        </is>
      </c>
      <c r="B14" s="13" t="inlineStr">
        <is>
          <t>Batch creation</t>
        </is>
      </c>
      <c r="C14" s="13" t="inlineStr">
        <is>
          <t>Daily batches</t>
        </is>
      </c>
      <c r="D14" s="13" t="inlineStr">
        <is>
          <t>Any day</t>
        </is>
      </c>
      <c r="E14" s="13" t="inlineStr">
        <is>
          <t>Trigger BATCH_CREATION ({"project": "CMSUNIV"} unless stated). Check with Q1 / Q2.</t>
        </is>
      </c>
      <c r="F14" s="14" t="inlineStr"/>
      <c r="G14" s="13" t="inlineStr">
        <is>
          <t>Airflow DAG OSSTD_CORE_CMS_COMPLIANCE_BATCH_CREATION
Trigger DAG w/ config:
{"project": "CMSUNIV"}</t>
        </is>
      </c>
      <c r="H14" s="13" t="inlineStr">
        <is>
          <t>1. Check the precondition
2. Prepare the input: Any day
3. Run the job
4. Run the verification SQL (replace &lt;batch&gt;, &lt;table&gt;)
5. Compare with the expected result and record the outcome</t>
        </is>
      </c>
      <c r="I14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14" s="13" t="inlineStr">
        <is>
          <t>One …_&lt;table&gt;_DLY batch per table, one row per crosswalk source listing DLY; report dates = previous day; REQUEST_CREATED; close date = request date (SLA 1); version 2200</t>
        </is>
      </c>
      <c r="K14" s="15" t="inlineStr">
        <is>
          <t>Not Run</t>
        </is>
      </c>
      <c r="L14" s="15" t="inlineStr"/>
      <c r="M14" s="15" t="inlineStr"/>
      <c r="N14" s="15" t="inlineStr"/>
      <c r="O14" s="15" t="inlineStr"/>
      <c r="P14" s="15" t="inlineStr"/>
      <c r="Q14" s="15" t="inlineStr"/>
    </row>
    <row r="15">
      <c r="A15" s="12" t="inlineStr">
        <is>
          <t>BC-02</t>
        </is>
      </c>
      <c r="B15" s="13" t="inlineStr">
        <is>
          <t>Batch creation</t>
        </is>
      </c>
      <c r="C15" s="13" t="inlineStr">
        <is>
          <t>Batch ID format</t>
        </is>
      </c>
      <c r="D15" s="13" t="inlineStr">
        <is>
          <t>BC-01</t>
        </is>
      </c>
      <c r="E15" s="13" t="inlineStr">
        <is>
          <t>Trigger BATCH_CREATION ({"project": "CMSUNIV"} unless stated). Check with Q1 / Q2.</t>
        </is>
      </c>
      <c r="F15" s="14" t="inlineStr"/>
      <c r="G15" s="13" t="inlineStr">
        <is>
          <t>Airflow DAG OSSTD_CORE_CMS_COMPLIANCE_BATCH_CREATION
Trigger DAG w/ config:
{"project": "CMSUNIV"}</t>
        </is>
      </c>
      <c r="H15" s="13" t="inlineStr">
        <is>
          <t>1. Check the precondition
2. Prepare the input: BC-01
3. Run the job
4. Run the verification SQL (replace &lt;batch&gt;, &lt;table&gt;)
5. Compare with the expected result and record the outcome</t>
        </is>
      </c>
      <c r="I15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15" s="13" t="inlineStr">
        <is>
          <t>Btch_ID = &lt;YYYYMMDD&gt;_CMSUNIV_&lt;table&gt;_&lt;run type&gt;; all sources share it</t>
        </is>
      </c>
      <c r="K15" s="15" t="inlineStr">
        <is>
          <t>Not Run</t>
        </is>
      </c>
      <c r="L15" s="15" t="inlineStr"/>
      <c r="M15" s="15" t="inlineStr"/>
      <c r="N15" s="15" t="inlineStr"/>
      <c r="O15" s="15" t="inlineStr"/>
      <c r="P15" s="15" t="inlineStr"/>
      <c r="Q15" s="15" t="inlineStr"/>
    </row>
    <row r="16">
      <c r="A16" s="12" t="inlineStr">
        <is>
          <t>BC-03</t>
        </is>
      </c>
      <c r="B16" s="13" t="inlineStr">
        <is>
          <t>Batch creation</t>
        </is>
      </c>
      <c r="C16" s="13" t="inlineStr">
        <is>
          <t>Rerun is safe</t>
        </is>
      </c>
      <c r="D16" s="13" t="inlineStr">
        <is>
          <t>Trigger BC-01 again</t>
        </is>
      </c>
      <c r="E16" s="13" t="inlineStr">
        <is>
          <t>Trigger BATCH_CREATION ({"project": "CMSUNIV"} unless stated). Check with Q1 / Q2.</t>
        </is>
      </c>
      <c r="F16" s="14" t="inlineStr"/>
      <c r="G16" s="13" t="inlineStr">
        <is>
          <t>Airflow DAG OSSTD_CORE_CMS_COMPLIANCE_BATCH_CREATION
Trigger DAG w/ config:
{"project": "CMSUNIV"}</t>
        </is>
      </c>
      <c r="H16" s="13" t="inlineStr">
        <is>
          <t>1. Check the precondition
2. Prepare the input: Trigger BC-01 again
3. Run the job
4. Run the verification SQL (replace &lt;batch&gt;, &lt;table&gt;)
5. Compare with the expected result and record the outcome</t>
        </is>
      </c>
      <c r="I16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16" s="13" t="inlineStr">
        <is>
          <t>No new rows (Q1 unchanged); report created = 0</t>
        </is>
      </c>
      <c r="K16" s="15" t="inlineStr">
        <is>
          <t>Not Run</t>
        </is>
      </c>
      <c r="L16" s="15" t="inlineStr"/>
      <c r="M16" s="15" t="inlineStr"/>
      <c r="N16" s="15" t="inlineStr"/>
      <c r="O16" s="15" t="inlineStr"/>
      <c r="P16" s="15" t="inlineStr"/>
      <c r="Q16" s="15" t="inlineStr"/>
    </row>
    <row r="17">
      <c r="A17" s="12" t="inlineStr">
        <is>
          <t>BC-04</t>
        </is>
      </c>
      <c r="B17" s="13" t="inlineStr">
        <is>
          <t>Batch creation</t>
        </is>
      </c>
      <c r="C17" s="13" t="inlineStr">
        <is>
          <t>Weekly on Sunday</t>
        </is>
      </c>
      <c r="D17" s="13" t="inlineStr">
        <is>
          <t>Run the job with the trigger config shown in Job to Execute</t>
        </is>
      </c>
      <c r="E17" s="13" t="inlineStr">
        <is>
          <t>Trigger BATCH_CREATION ({"project": "CMSUNIV"} unless stated). Check with Q1 / Q2.</t>
        </is>
      </c>
      <c r="F17" s="14" t="inlineStr"/>
      <c r="G17" s="13" t="inlineStr">
        <is>
          <t>Airflow DAG OSSTD_CORE_CMS_COMPLIANCE_BATCH_CREATION
Trigger DAG w/ config:
{"project": "CMSUNIV", "as_of": "2026-10-25"}</t>
        </is>
      </c>
      <c r="H17" s="13" t="inlineStr">
        <is>
          <t>1. Check the precondition
2. No input to prepare
3. Run the job
4. Run the verification SQL (replace &lt;batch&gt;, &lt;table&gt;)
5. Compare with the expected result and record the outcome</t>
        </is>
      </c>
      <c r="I17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17" s="13" t="inlineStr">
        <is>
          <t>…_WKLY batches for internal-source tables only; dates = the 60 days ending the Saturday before; SLA 5 (closes Friday)</t>
        </is>
      </c>
      <c r="K17" s="15" t="inlineStr">
        <is>
          <t>Not Run</t>
        </is>
      </c>
      <c r="L17" s="15" t="inlineStr"/>
      <c r="M17" s="15" t="inlineStr"/>
      <c r="N17" s="15" t="inlineStr"/>
      <c r="O17" s="15" t="inlineStr"/>
      <c r="P17" s="15" t="inlineStr"/>
      <c r="Q17" s="15" t="inlineStr"/>
    </row>
    <row r="18">
      <c r="A18" s="12" t="inlineStr">
        <is>
          <t>BC-05</t>
        </is>
      </c>
      <c r="B18" s="13" t="inlineStr">
        <is>
          <t>Batch creation</t>
        </is>
      </c>
      <c r="C18" s="13" t="inlineStr">
        <is>
          <t>No weekly on other days</t>
        </is>
      </c>
      <c r="D18" s="13" t="inlineStr">
        <is>
          <t>as_of a Monday</t>
        </is>
      </c>
      <c r="E18" s="13" t="inlineStr">
        <is>
          <t>Trigger BATCH_CREATION ({"project": "CMSUNIV"} unless stated). Check with Q1 / Q2.</t>
        </is>
      </c>
      <c r="F18" s="14" t="inlineStr"/>
      <c r="G18" s="13" t="inlineStr">
        <is>
          <t>Airflow DAG OSSTD_CORE_CMS_COMPLIANCE_BATCH_CREATION
Trigger DAG w/ config:
{"project": "CMSUNIV", "as_of": "2026-10-26"}</t>
        </is>
      </c>
      <c r="H18" s="13" t="inlineStr">
        <is>
          <t>1. Check the precondition
2. Prepare the input: as_of a Monday
3. Run the job
4. Run the verification SQL (replace &lt;batch&gt;, &lt;table&gt;)
5. Compare with the expected result and record the outcome</t>
        </is>
      </c>
      <c r="I18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18" s="13" t="inlineStr">
        <is>
          <t>No WKLY batches</t>
        </is>
      </c>
      <c r="K18" s="15" t="inlineStr">
        <is>
          <t>Not Run</t>
        </is>
      </c>
      <c r="L18" s="15" t="inlineStr"/>
      <c r="M18" s="15" t="inlineStr"/>
      <c r="N18" s="15" t="inlineStr"/>
      <c r="O18" s="15" t="inlineStr"/>
      <c r="P18" s="15" t="inlineStr"/>
      <c r="Q18" s="15" t="inlineStr"/>
    </row>
    <row r="19">
      <c r="A19" s="12" t="inlineStr">
        <is>
          <t>BC-06</t>
        </is>
      </c>
      <c r="B19" s="13" t="inlineStr">
        <is>
          <t>Batch creation</t>
        </is>
      </c>
      <c r="C19" s="13" t="inlineStr">
        <is>
          <t>Monthly (MNT)</t>
        </is>
      </c>
      <c r="D19" s="13" t="inlineStr">
        <is>
          <t>as_of = the Sunday before the 3rd Tuesday (e.g. 2026-10-18)</t>
        </is>
      </c>
      <c r="E19" s="13" t="inlineStr">
        <is>
          <t>Trigger BATCH_CREATION ({"project": "CMSUNIV"} unless stated). Check with Q1 / Q2.</t>
        </is>
      </c>
      <c r="F19" s="14" t="inlineStr"/>
      <c r="G19" s="13" t="inlineStr">
        <is>
          <t>Airflow DAG OSSTD_CORE_CMS_COMPLIANCE_BATCH_CREATION
Trigger DAG w/ config:
{"project": "CMSUNIV", "as_of": "2026-10-18"}</t>
        </is>
      </c>
      <c r="H19" s="13" t="inlineStr">
        <is>
          <t>1. Check the precondition
2. Prepare the input: as_of = the Sunday before the 3rd Tuesday (e.g. 2026-10-18)
3. Run the job
4. Run the verification SQL (replace &lt;batch&gt;, &lt;table&gt;)
5. Compare with the expected result and record the outcome</t>
        </is>
      </c>
      <c r="I19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19" s="13" t="inlineStr">
        <is>
          <t>…_MNT batches, dates = previous calendar month (2026-09-01..09-30), SLA 5</t>
        </is>
      </c>
      <c r="K19" s="15" t="inlineStr">
        <is>
          <t>Not Run</t>
        </is>
      </c>
      <c r="L19" s="15" t="inlineStr"/>
      <c r="M19" s="15" t="inlineStr"/>
      <c r="N19" s="15" t="inlineStr"/>
      <c r="O19" s="15" t="inlineStr"/>
      <c r="P19" s="15" t="inlineStr"/>
      <c r="Q19" s="15" t="inlineStr"/>
    </row>
    <row r="20">
      <c r="A20" s="12" t="inlineStr">
        <is>
          <t>BC-07</t>
        </is>
      </c>
      <c r="B20" s="13" t="inlineStr">
        <is>
          <t>Batch creation</t>
        </is>
      </c>
      <c r="C20" s="13" t="inlineStr">
        <is>
          <t>MNT not on other Sundays</t>
        </is>
      </c>
      <c r="D20" s="13" t="inlineStr">
        <is>
          <t>as_of another Sunday</t>
        </is>
      </c>
      <c r="E20" s="13" t="inlineStr">
        <is>
          <t>Trigger BATCH_CREATION ({"project": "CMSUNIV"} unless stated). Check with Q1 / Q2.</t>
        </is>
      </c>
      <c r="F20" s="14" t="inlineStr"/>
      <c r="G20" s="13" t="inlineStr">
        <is>
          <t>Airflow DAG OSSTD_CORE_CMS_COMPLIANCE_BATCH_CREATION
Trigger DAG w/ config:
{"project": "CMSUNIV", "as_of": "2026-10-25"}</t>
        </is>
      </c>
      <c r="H20" s="13" t="inlineStr">
        <is>
          <t>1. Check the precondition
2. Prepare the input: as_of another Sunday
3. Run the job
4. Run the verification SQL (replace &lt;batch&gt;, &lt;table&gt;)
5. Compare with the expected result and record the outcome</t>
        </is>
      </c>
      <c r="I20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20" s="13" t="inlineStr">
        <is>
          <t>No MNT batches</t>
        </is>
      </c>
      <c r="K20" s="15" t="inlineStr">
        <is>
          <t>Not Run</t>
        </is>
      </c>
      <c r="L20" s="15" t="inlineStr"/>
      <c r="M20" s="15" t="inlineStr"/>
      <c r="N20" s="15" t="inlineStr"/>
      <c r="O20" s="15" t="inlineStr"/>
      <c r="P20" s="15" t="inlineStr"/>
      <c r="Q20" s="15" t="inlineStr"/>
    </row>
    <row r="21">
      <c r="A21" s="12" t="inlineStr">
        <is>
          <t>BC-08</t>
        </is>
      </c>
      <c r="B21" s="13" t="inlineStr">
        <is>
          <t>Batch creation</t>
        </is>
      </c>
      <c r="C21" s="13" t="inlineStr">
        <is>
          <t>Missed day caught up</t>
        </is>
      </c>
      <c r="D21" s="13" t="inlineStr">
        <is>
          <t>Skip a day; run next day with lookback_days: 2</t>
        </is>
      </c>
      <c r="E21" s="13" t="inlineStr">
        <is>
          <t>Trigger BATCH_CREATION ({"project": "CMSUNIV"} unless stated). Check with Q1 / Q2.</t>
        </is>
      </c>
      <c r="F21" s="14" t="inlineStr"/>
      <c r="G21" s="13" t="inlineStr">
        <is>
          <t>Airflow DAG OSSTD_CORE_CMS_COMPLIANCE_BATCH_CREATION
Trigger DAG w/ config:
{"project": "CMSUNIV", "lookback_days": "2"}</t>
        </is>
      </c>
      <c r="H21" s="13" t="inlineStr">
        <is>
          <t>1. Check the precondition
2. Prepare the input: Skip a day; run next day with lookback_days: 2
3. Run the job
4. Run the verification SQL (replace &lt;batch&gt;, &lt;table&gt;)
5. Compare with the expected result and record the outcome</t>
        </is>
      </c>
      <c r="I21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21" s="13" t="inlineStr">
        <is>
          <t>Missed day's DLY batches created with that day's dates (Req_Dt_Key = missed day)</t>
        </is>
      </c>
      <c r="K21" s="15" t="inlineStr">
        <is>
          <t>Not Run</t>
        </is>
      </c>
      <c r="L21" s="15" t="inlineStr"/>
      <c r="M21" s="15" t="inlineStr"/>
      <c r="N21" s="15" t="inlineStr"/>
      <c r="O21" s="15" t="inlineStr"/>
      <c r="P21" s="15" t="inlineStr"/>
      <c r="Q21" s="15" t="inlineStr"/>
    </row>
    <row r="22">
      <c r="A22" s="12" t="inlineStr">
        <is>
          <t>BC-09</t>
        </is>
      </c>
      <c r="B22" s="13" t="inlineStr">
        <is>
          <t>Batch creation</t>
        </is>
      </c>
      <c r="C22" s="13" t="inlineStr">
        <is>
          <t>Period override</t>
        </is>
      </c>
      <c r="D22" s="13" t="inlineStr">
        <is>
          <t>Run the job with the trigger config shown in Job to Execute</t>
        </is>
      </c>
      <c r="E22" s="13" t="inlineStr">
        <is>
          <t>Trigger BATCH_CREATION ({"project": "CMSUNIV"} unless stated). Check with Q1 / Q2.</t>
        </is>
      </c>
      <c r="F22" s="14" t="inlineStr"/>
      <c r="G22" s="13" t="inlineStr">
        <is>
          <t>Airflow DAG OSSTD_CORE_CMS_COMPLIANCE_BATCH_CREATION
Trigger DAG w/ config:
{"project": "CMSUNIV", "run_type": "DLY", "period": "PREV_N_DAYS(3)"}</t>
        </is>
      </c>
      <c r="H22" s="13" t="inlineStr">
        <is>
          <t>1. Check the precondition
2. No input to prepare
3. Run the job
4. Run the verification SQL (replace &lt;batch&gt;, &lt;table&gt;)
5. Compare with the expected result and record the outcome</t>
        </is>
      </c>
      <c r="I22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22" s="13" t="inlineStr">
        <is>
          <t>DLY batches with the last 3 days as dates</t>
        </is>
      </c>
      <c r="K22" s="15" t="inlineStr">
        <is>
          <t>Not Run</t>
        </is>
      </c>
      <c r="L22" s="15" t="inlineStr"/>
      <c r="M22" s="15" t="inlineStr"/>
      <c r="N22" s="15" t="inlineStr"/>
      <c r="O22" s="15" t="inlineStr"/>
      <c r="P22" s="15" t="inlineStr"/>
      <c r="Q22" s="15" t="inlineStr"/>
    </row>
    <row r="23">
      <c r="A23" s="12" t="inlineStr">
        <is>
          <t>BC-10</t>
        </is>
      </c>
      <c r="B23" s="13" t="inlineStr">
        <is>
          <t>Batch creation</t>
        </is>
      </c>
      <c r="C23" s="13" t="inlineStr">
        <is>
          <t>Scope</t>
        </is>
      </c>
      <c r="D23" s="13" t="inlineStr">
        <is>
          <t>Run the job with the trigger config shown in Job to Execute</t>
        </is>
      </c>
      <c r="E23" s="13" t="inlineStr">
        <is>
          <t>Trigger BATCH_CREATION ({"project": "CMSUNIV"} unless stated). Check with Q1 / Q2.</t>
        </is>
      </c>
      <c r="F23" s="14" t="inlineStr"/>
      <c r="G23" s="13" t="inlineStr">
        <is>
          <t>Airflow DAG OSSTD_CORE_CMS_COMPLIANCE_BATCH_CREATION
Trigger DAG w/ config:
{"project": "CMSUNIV", "table_group": "SNPCC"}</t>
        </is>
      </c>
      <c r="H23" s="13" t="inlineStr">
        <is>
          <t>1. Check the precondition
2. No input to prepare
3. Run the job
4. Run the verification SQL (replace &lt;batch&gt;, &lt;table&gt;)
5. Compare with the expected result and record the outcome</t>
        </is>
      </c>
      <c r="I23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23" s="13" t="inlineStr">
        <is>
          <t>Only SNPCC1 batches</t>
        </is>
      </c>
      <c r="K23" s="15" t="inlineStr">
        <is>
          <t>Not Run</t>
        </is>
      </c>
      <c r="L23" s="15" t="inlineStr"/>
      <c r="M23" s="15" t="inlineStr"/>
      <c r="N23" s="15" t="inlineStr"/>
      <c r="O23" s="15" t="inlineStr"/>
      <c r="P23" s="15" t="inlineStr"/>
      <c r="Q23" s="15" t="inlineStr"/>
    </row>
    <row r="24">
      <c r="A24" s="12" t="inlineStr">
        <is>
          <t>BC-11</t>
        </is>
      </c>
      <c r="B24" s="13" t="inlineStr">
        <is>
          <t>Batch creation</t>
        </is>
      </c>
      <c r="C24" s="13" t="inlineStr">
        <is>
          <t>FA fixed dates</t>
        </is>
      </c>
      <c r="D24" s="13" t="inlineStr">
        <is>
          <t>Run DLY</t>
        </is>
      </c>
      <c r="E24" s="13" t="inlineStr">
        <is>
          <t>Trigger BATCH_CREATION ({"project": "CMSUNIV"} unless stated). Check with Q1 / Q2.</t>
        </is>
      </c>
      <c r="F24" s="14" t="inlineStr"/>
      <c r="G24" s="13" t="inlineStr">
        <is>
          <t>Airflow DAG OSSTD_CORE_CMS_COMPLIANCE_BATCH_CREATION
Trigger DAG w/ config:
{"project": "CMSUNIV"}</t>
        </is>
      </c>
      <c r="H24" s="13" t="inlineStr">
        <is>
          <t>1. Check the precondition
2. Prepare the input: Run DLY
3. Run the job
4. Run the verification SQL (replace &lt;batch&gt;, &lt;table&gt;)
5. Compare with the expected result and record the outcome</t>
        </is>
      </c>
      <c r="I24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24" s="13" t="inlineStr">
        <is>
          <t>FA1 = last 14 days of previous month; FA2 = 01-01..01-31; FA3 = 11-01..12-31 previous year; FA4 = 11-01 previous year..01-31</t>
        </is>
      </c>
      <c r="K24" s="15" t="inlineStr">
        <is>
          <t>Not Run</t>
        </is>
      </c>
      <c r="L24" s="15" t="inlineStr"/>
      <c r="M24" s="15" t="inlineStr"/>
      <c r="N24" s="15" t="inlineStr"/>
      <c r="O24" s="15" t="inlineStr"/>
      <c r="P24" s="15" t="inlineStr"/>
      <c r="Q24" s="15" t="inlineStr"/>
    </row>
    <row r="25">
      <c r="A25" s="12" t="inlineStr">
        <is>
          <t>BC-12</t>
        </is>
      </c>
      <c r="B25" s="13" t="inlineStr">
        <is>
          <t>Batch creation</t>
        </is>
      </c>
      <c r="C25" s="13" t="inlineStr">
        <is>
          <t>FA switch on Feb 1</t>
        </is>
      </c>
      <c r="D25" s="13" t="inlineStr">
        <is>
          <t>as_of 2027-01-31 then 2027-02-01</t>
        </is>
      </c>
      <c r="E25" s="13" t="inlineStr">
        <is>
          <t>Trigger BATCH_CREATION ({"project": "CMSUNIV"} unless stated). Check with Q1 / Q2.</t>
        </is>
      </c>
      <c r="F25" s="14" t="inlineStr"/>
      <c r="G25" s="13" t="inlineStr">
        <is>
          <t>Airflow DAG OSSTD_CORE_CMS_COMPLIANCE_BATCH_CREATION
Trigger DAG w/ config:
{"project": "CMSUNIV", "as_of": "2027-01-31"}
then again with as_of 2027-02-01</t>
        </is>
      </c>
      <c r="H25" s="13" t="inlineStr">
        <is>
          <t>1. Check the precondition
2. Prepare the input: as_of 2027-01-31 then 2027-02-01
3. Run the job
4. Run the verification SQL (replace &lt;batch&gt;, &lt;table&gt;)
5. Compare with the expected result and record the outcome</t>
        </is>
      </c>
      <c r="I25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25" s="13" t="inlineStr">
        <is>
          <t>FA2–FA4 dates move to the new year on 02-01 only</t>
        </is>
      </c>
      <c r="K25" s="15" t="inlineStr">
        <is>
          <t>Not Run</t>
        </is>
      </c>
      <c r="L25" s="15" t="inlineStr"/>
      <c r="M25" s="15" t="inlineStr"/>
      <c r="N25" s="15" t="inlineStr"/>
      <c r="O25" s="15" t="inlineStr"/>
      <c r="P25" s="15" t="inlineStr"/>
      <c r="Q25" s="15" t="inlineStr"/>
    </row>
    <row r="26">
      <c r="A26" s="12" t="inlineStr">
        <is>
          <t>BC-13</t>
        </is>
      </c>
      <c r="B26" s="13" t="inlineStr">
        <is>
          <t>Batch creation</t>
        </is>
      </c>
      <c r="C26" s="13" t="inlineStr">
        <is>
          <t>IN1 ad hoc with schedule</t>
        </is>
      </c>
      <c r="D26" s="13" t="inlineStr">
        <is>
          <t>Any day</t>
        </is>
      </c>
      <c r="E26" s="13" t="inlineStr">
        <is>
          <t>Trigger BATCH_CREATION ({"project": "CMSUNIV"} unless stated). Check with Q1 / Q2.</t>
        </is>
      </c>
      <c r="F26" s="14" t="inlineStr"/>
      <c r="G26" s="13" t="inlineStr">
        <is>
          <t>Airflow DAG OSSTD_CORE_CMS_COMPLIANCE_BATCH_CREATION
Trigger DAG w/ config:
{"project": "CMSUNIV"}</t>
        </is>
      </c>
      <c r="H26" s="13" t="inlineStr">
        <is>
          <t>1. Check the precondition
2. Prepare the input: Any day
3. Run the job
4. Run the verification SQL (replace &lt;batch&gt;, &lt;table&gt;)
5. Compare with the expected result and record the outcome</t>
        </is>
      </c>
      <c r="I26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26" s="13" t="inlineStr">
        <is>
          <t>…_SNPCC1_IN1 batch for source 11 only; held (not pulled / exported)</t>
        </is>
      </c>
      <c r="K26" s="15" t="inlineStr">
        <is>
          <t>Not Run</t>
        </is>
      </c>
      <c r="L26" s="15" t="inlineStr"/>
      <c r="M26" s="15" t="inlineStr"/>
      <c r="N26" s="15" t="inlineStr"/>
      <c r="O26" s="15" t="inlineStr"/>
      <c r="P26" s="15" t="inlineStr"/>
      <c r="Q26" s="15" t="inlineStr"/>
    </row>
    <row r="27">
      <c r="A27" s="12" t="inlineStr">
        <is>
          <t>BC-14</t>
        </is>
      </c>
      <c r="B27" s="13" t="inlineStr">
        <is>
          <t>Batch creation</t>
        </is>
      </c>
      <c r="C27" s="13" t="inlineStr">
        <is>
          <t>Crosswalk effective dates</t>
        </is>
      </c>
      <c r="D27" s="13" t="inlineStr">
        <is>
          <t>Set a source's Effective_End_Dt_Key to yesterday</t>
        </is>
      </c>
      <c r="E27" s="13" t="inlineStr">
        <is>
          <t>Trigger BATCH_CREATION ({"project": "CMSUNIV"} unless stated). Check with Q1 / Q2.</t>
        </is>
      </c>
      <c r="F27" s="14" t="inlineStr">
        <is>
          <t>UPDATE HSABC_DEV.ComplianceDataSetSourceXwalk SET Effective_End_Dt_Key = CURRENT_DATE - 1
WHERE Project_Cd = 'CMSUNIV' AND Table_Nm = 'ODAG3' AND Src_ID = '51';
-- revert after: SET Effective_End_Dt_Key = NULL</t>
        </is>
      </c>
      <c r="G27" s="13" t="inlineStr">
        <is>
          <t>Airflow DAG OSSTD_CORE_CMS_COMPLIANCE_BATCH_CREATION
Trigger DAG w/ config:
{"project": "CMSUNIV"}</t>
        </is>
      </c>
      <c r="H27" s="13" t="inlineStr">
        <is>
          <t>1. Check the precondition and run the setup SQL
2. Prepare the input: Set a source's Effective_End_Dt_Key to yesterday
3. Run the job
4. Run the verification SQL (replace &lt;batch&gt;, &lt;table&gt;)
5. Compare with the expected result and record the outcome
6. Revert the setup change</t>
        </is>
      </c>
      <c r="I27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27" s="13" t="inlineStr">
        <is>
          <t>No new batch row for that source from today</t>
        </is>
      </c>
      <c r="K27" s="15" t="inlineStr">
        <is>
          <t>Not Run</t>
        </is>
      </c>
      <c r="L27" s="15" t="inlineStr"/>
      <c r="M27" s="15" t="inlineStr"/>
      <c r="N27" s="15" t="inlineStr"/>
      <c r="O27" s="15" t="inlineStr"/>
      <c r="P27" s="15" t="inlineStr"/>
      <c r="Q27" s="15" t="inlineStr"/>
    </row>
    <row r="28">
      <c r="A28" s="12" t="inlineStr">
        <is>
          <t>BC-15</t>
        </is>
      </c>
      <c r="B28" s="13" t="inlineStr">
        <is>
          <t>Batch creation</t>
        </is>
      </c>
      <c r="C28" s="13" t="inlineStr">
        <is>
          <t>Run type switched off for a source</t>
        </is>
      </c>
      <c r="D28" s="13" t="inlineStr">
        <is>
          <t>Add a crosswalk row Include_Ind = 0 for one run type from today</t>
        </is>
      </c>
      <c r="E28" s="13" t="inlineStr">
        <is>
          <t>Trigger BATCH_CREATION ({"project": "CMSUNIV"} unless stated). Check with Q1 / Q2.</t>
        </is>
      </c>
      <c r="F28" s="14" t="inlineStr">
        <is>
          <t>INSERT INTO HSABC_DEV.ComplianceDataSetSourceXwalk (Project_Cd, Table_Nm, Src_ID, Run_Ty, Effective_Start_Dt_Key, Effective_End_Dt_Key, Cmplnc_Vrsn, Include_Ind, Active_Ind)
VALUES ('CMSUNIV', 'ODAG3', '51', 'MNT', CURRENT_DATE, NULL, '2200', 0, 1);
-- revert after: DELETE that row</t>
        </is>
      </c>
      <c r="G28" s="13" t="inlineStr">
        <is>
          <t>Airflow DAG OSSTD_CORE_CMS_COMPLIANCE_BATCH_CREATION
Trigger DAG w/ config:
{"project": "CMSUNIV"}</t>
        </is>
      </c>
      <c r="H28" s="13" t="inlineStr">
        <is>
          <t>1. Check the precondition and run the setup SQL
2. Prepare the input: Add a crosswalk row Include_Ind = 0 for one run type from today
3. Run the job
4. Run the verification SQL (replace &lt;batch&gt;, &lt;table&gt;)
5. Compare with the expected result and record the outcome
6. Revert the setup change</t>
        </is>
      </c>
      <c r="I28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28" s="13" t="inlineStr">
        <is>
          <t>That source gets no batch of that run type from today; earlier batches untouched</t>
        </is>
      </c>
      <c r="K28" s="15" t="inlineStr">
        <is>
          <t>Not Run</t>
        </is>
      </c>
      <c r="L28" s="15" t="inlineStr"/>
      <c r="M28" s="15" t="inlineStr"/>
      <c r="N28" s="15" t="inlineStr"/>
      <c r="O28" s="15" t="inlineStr"/>
      <c r="P28" s="15" t="inlineStr"/>
      <c r="Q28" s="15" t="inlineStr"/>
    </row>
    <row r="29">
      <c r="A29" s="12" t="inlineStr">
        <is>
          <t>BC-16</t>
        </is>
      </c>
      <c r="B29" s="13" t="inlineStr">
        <is>
          <t>Batch creation</t>
        </is>
      </c>
      <c r="C29" s="13" t="inlineStr">
        <is>
          <t>Inactive run type</t>
        </is>
      </c>
      <c r="D29" s="13" t="inlineStr">
        <is>
          <t>Active_Ind = 0 on a run type</t>
        </is>
      </c>
      <c r="E29" s="13" t="inlineStr">
        <is>
          <t>Trigger BATCH_CREATION ({"project": "CMSUNIV"} unless stated). Check with Q1 / Q2.</t>
        </is>
      </c>
      <c r="F29" s="14" t="inlineStr">
        <is>
          <t>UPDATE HSABC_DEV.ComplianceRunType SET Active_Ind = 0 WHERE Run_Ty = 'IN1';
-- revert after: SET Active_Ind = 1</t>
        </is>
      </c>
      <c r="G29" s="13" t="inlineStr">
        <is>
          <t>Airflow DAG OSSTD_CORE_CMS_COMPLIANCE_BATCH_CREATION
Trigger DAG w/ config:
{"project": "CMSUNIV"}</t>
        </is>
      </c>
      <c r="H29" s="13" t="inlineStr">
        <is>
          <t>1. Check the precondition and run the setup SQL
2. Prepare the input: Active_Ind = 0 on a run type
3. Run the job
4. Run the verification SQL (replace &lt;batch&gt;, &lt;table&gt;)
5. Compare with the expected result and record the outcome
6. Revert the setup change</t>
        </is>
      </c>
      <c r="I29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29" s="13" t="inlineStr">
        <is>
          <t>No batches of it; validate WARNING</t>
        </is>
      </c>
      <c r="K29" s="15" t="inlineStr">
        <is>
          <t>Not Run</t>
        </is>
      </c>
      <c r="L29" s="15" t="inlineStr"/>
      <c r="M29" s="15" t="inlineStr"/>
      <c r="N29" s="15" t="inlineStr"/>
      <c r="O29" s="15" t="inlineStr"/>
      <c r="P29" s="15" t="inlineStr"/>
      <c r="Q29" s="15" t="inlineStr"/>
    </row>
    <row r="30">
      <c r="A30" s="12" t="inlineStr">
        <is>
          <t>BC-17</t>
        </is>
      </c>
      <c r="B30" s="13" t="inlineStr">
        <is>
          <t>Batch creation</t>
        </is>
      </c>
      <c r="C30" s="13" t="inlineStr">
        <is>
          <t>Report dates by SQL</t>
        </is>
      </c>
      <c r="D30" s="13" t="inlineStr">
        <is>
          <t>Period row with Rpt_Dt_Sql_Txt (e.g. 14 days before {period_dt})</t>
        </is>
      </c>
      <c r="E30" s="13" t="inlineStr">
        <is>
          <t>Trigger BATCH_CREATION ({"project": "CMSUNIV"} unless stated). Check with Q1 / Q2.</t>
        </is>
      </c>
      <c r="F30" s="14" t="inlineStr">
        <is>
          <t>INSERT INTO HSABC_DEV.ComplianceRunTypePeriod (Project_Cd, Table_Nm, Run_Ty, Rpt_Dt_Sql_Txt, Active_Ind)
VALUES ('CMSUNIV', 'ODAG3', 'DLY', 'SELECT CAST({period_dt} AS DATE) - 14 AS rpt_start, CAST({period_dt} AS DATE) - 1 AS rpt_end', 1);
-- revert after: DELETE that row</t>
        </is>
      </c>
      <c r="G30" s="13" t="inlineStr">
        <is>
          <t>Airflow DAG OSSTD_CORE_CMS_COMPLIANCE_BATCH_CREATION
Trigger DAG w/ config:
{"project": "CMSUNIV"}</t>
        </is>
      </c>
      <c r="H30" s="13" t="inlineStr">
        <is>
          <t>1. Check the precondition and run the setup SQL
2. Prepare the input: Period row with Rpt_Dt_Sql_Txt (e.g. 14 days before {period_dt})
3. Run the job
4. Run the verification SQL (replace &lt;batch&gt;, &lt;table&gt;)
5. Compare with the expected result and record the outcome
6. Revert the setup change</t>
        </is>
      </c>
      <c r="I30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30" s="13" t="inlineStr">
        <is>
          <t>Batch dates from the SQL; SQL with values in the log</t>
        </is>
      </c>
      <c r="K30" s="15" t="inlineStr">
        <is>
          <t>Not Run</t>
        </is>
      </c>
      <c r="L30" s="15" t="inlineStr"/>
      <c r="M30" s="15" t="inlineStr"/>
      <c r="N30" s="15" t="inlineStr"/>
      <c r="O30" s="15" t="inlineStr"/>
      <c r="P30" s="15" t="inlineStr"/>
      <c r="Q30" s="15" t="inlineStr"/>
    </row>
    <row r="31">
      <c r="A31" s="12" t="inlineStr">
        <is>
          <t>BC-18</t>
        </is>
      </c>
      <c r="B31" s="13" t="inlineStr">
        <is>
          <t>Batch creation</t>
        </is>
      </c>
      <c r="C31" s="13" t="inlineStr">
        <is>
          <t>SQL returns no row</t>
        </is>
      </c>
      <c r="D31" s="13" t="inlineStr">
        <is>
          <t>Make that SQL return nothing</t>
        </is>
      </c>
      <c r="E31" s="13" t="inlineStr">
        <is>
          <t>Trigger BATCH_CREATION ({"project": "CMSUNIV"} unless stated). Check with Q1 / Q2.</t>
        </is>
      </c>
      <c r="F31" s="14" t="inlineStr">
        <is>
          <t>UPDATE HSABC_DEV.ComplianceRunTypePeriod SET Rpt_Dt_Sql_Txt = 'SELECT CURRENT_DATE AS rpt_start, CURRENT_DATE AS rpt_end WHERE 1 = 0'
WHERE Project_Cd = 'CMSUNIV' AND Table_Nm = 'ODAG3' AND Run_Ty = 'DLY';</t>
        </is>
      </c>
      <c r="G31" s="13" t="inlineStr">
        <is>
          <t>Airflow DAG OSSTD_CORE_CMS_COMPLIANCE_BATCH_CREATION
Trigger DAG w/ config:
{"project": "CMSUNIV"}</t>
        </is>
      </c>
      <c r="H31" s="13" t="inlineStr">
        <is>
          <t>1. Check the precondition and run the setup SQL
2. Prepare the input: Make that SQL return nothing
3. Run the job
4. Run the verification SQL (replace &lt;batch&gt;, &lt;table&gt;)
5. Compare with the expected result and record the outcome</t>
        </is>
      </c>
      <c r="I31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31" s="13" t="inlineStr">
        <is>
          <t>No batch that day for that table; no error</t>
        </is>
      </c>
      <c r="K31" s="15" t="inlineStr">
        <is>
          <t>Not Run</t>
        </is>
      </c>
      <c r="L31" s="15" t="inlineStr"/>
      <c r="M31" s="15" t="inlineStr"/>
      <c r="N31" s="15" t="inlineStr"/>
      <c r="O31" s="15" t="inlineStr"/>
      <c r="P31" s="15" t="inlineStr"/>
      <c r="Q31" s="15" t="inlineStr"/>
    </row>
    <row r="32">
      <c r="A32" s="12" t="inlineStr">
        <is>
          <t>BC-19</t>
        </is>
      </c>
      <c r="B32" s="13" t="inlineStr">
        <is>
          <t>Batch creation</t>
        </is>
      </c>
      <c r="C32" s="13" t="inlineStr">
        <is>
          <t>Calendar batch</t>
        </is>
      </c>
      <c r="D32" s="13" t="inlineStr">
        <is>
          <t>Insert a ComplianceBatchCalendar row for today</t>
        </is>
      </c>
      <c r="E32" s="13" t="inlineStr">
        <is>
          <t>Trigger BATCH_CREATION ({"project": "CMSUNIV"} unless stated). Check with Q1 / Q2.</t>
        </is>
      </c>
      <c r="F32" s="14" t="inlineStr">
        <is>
          <t>INSERT INTO HSABC_DEV.ComplianceBatchCalendar (Project_Cd, Table_Nm, Run_Ty, Req_Dt_Key, Rpt_Start_Dt_Key, Rpt_End_Dt_Key, Active_Ind)
VALUES ('CMSUNIV', 'ODAG3', 'MNT', CURRENT_DATE, DATE '2026-09-01', DATE '2026-09-30', 1);</t>
        </is>
      </c>
      <c r="G32" s="13" t="inlineStr">
        <is>
          <t>Airflow DAG OSSTD_CORE_CMS_COMPLIANCE_BATCH_CREATION
Trigger DAG w/ config:
{"project": "CMSUNIV"}</t>
        </is>
      </c>
      <c r="H32" s="13" t="inlineStr">
        <is>
          <t>1. Check the precondition and run the setup SQL
2. Prepare the input: Insert a ComplianceBatchCalendar row for today
3. Run the job
4. Run the verification SQL (replace &lt;batch&gt;, &lt;table&gt;)
5. Compare with the expected result and record the outcome</t>
        </is>
      </c>
      <c r="I32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32" s="13" t="inlineStr">
        <is>
          <t>Batch with the calendar dates</t>
        </is>
      </c>
      <c r="K32" s="15" t="inlineStr">
        <is>
          <t>Not Run</t>
        </is>
      </c>
      <c r="L32" s="15" t="inlineStr"/>
      <c r="M32" s="15" t="inlineStr"/>
      <c r="N32" s="15" t="inlineStr"/>
      <c r="O32" s="15" t="inlineStr"/>
      <c r="P32" s="15" t="inlineStr"/>
      <c r="Q32" s="15" t="inlineStr"/>
    </row>
    <row r="33">
      <c r="A33" s="12" t="inlineStr">
        <is>
          <t>BC-20</t>
        </is>
      </c>
      <c r="B33" s="13" t="inlineStr">
        <is>
          <t>Batch creation</t>
        </is>
      </c>
      <c r="C33" s="13" t="inlineStr">
        <is>
          <t>Version per source</t>
        </is>
      </c>
      <c r="D33" s="13" t="inlineStr">
        <is>
          <t>Crosswalk row of one source with version 2300</t>
        </is>
      </c>
      <c r="E33" s="13" t="inlineStr">
        <is>
          <t>Trigger BATCH_CREATION ({"project": "CMSUNIV"} unless stated). Check with Q1 / Q2.</t>
        </is>
      </c>
      <c r="F33" s="14" t="inlineStr">
        <is>
          <t>UPDATE HSABC_DEV.ComplianceDataSetSourceXwalk SET Cmplnc_Vrsn = '2300'
WHERE Project_Cd = 'CMSUNIV' AND Table_Nm = 'ODAG3' AND Src_ID = '51';
-- revert after: SET Cmplnc_Vrsn = '2200'</t>
        </is>
      </c>
      <c r="G33" s="13" t="inlineStr">
        <is>
          <t>Airflow DAG OSSTD_CORE_CMS_COMPLIANCE_BATCH_CREATION
Trigger DAG w/ config:
{"project": "CMSUNIV"}</t>
        </is>
      </c>
      <c r="H33" s="13" t="inlineStr">
        <is>
          <t>1. Check the precondition and run the setup SQL
2. Prepare the input: Crosswalk row of one source with version 2300
3. Run the job
4. Run the verification SQL (replace &lt;batch&gt;, &lt;table&gt;)
5. Compare with the expected result and record the outcome
6. Revert the setup change</t>
        </is>
      </c>
      <c r="I33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33" s="13" t="inlineStr">
        <is>
          <t>That source's row has Cmplnc_Vrsn = 2300</t>
        </is>
      </c>
      <c r="K33" s="15" t="inlineStr">
        <is>
          <t>Not Run</t>
        </is>
      </c>
      <c r="L33" s="15" t="inlineStr"/>
      <c r="M33" s="15" t="inlineStr"/>
      <c r="N33" s="15" t="inlineStr"/>
      <c r="O33" s="15" t="inlineStr"/>
      <c r="P33" s="15" t="inlineStr"/>
      <c r="Q33" s="15" t="inlineStr"/>
    </row>
    <row r="34">
      <c r="A34" s="12" t="inlineStr">
        <is>
          <t>BC-21</t>
        </is>
      </c>
      <c r="B34" s="13" t="inlineStr">
        <is>
          <t>Batch creation</t>
        </is>
      </c>
      <c r="C34" s="13" t="inlineStr">
        <is>
          <t>Problems reported</t>
        </is>
      </c>
      <c r="D34" s="13" t="inlineStr">
        <is>
          <t>Break a period code; run</t>
        </is>
      </c>
      <c r="E34" s="13" t="inlineStr">
        <is>
          <t>Trigger BATCH_CREATION ({"project": "CMSUNIV"} unless stated). Check with Q1 / Q2.</t>
        </is>
      </c>
      <c r="F34" s="14" t="inlineStr">
        <is>
          <t>UPDATE HSABC_DEV.ComplianceRunTypePeriod SET Rpt_Period_Cd = 'PREV_DAYS' WHERE Project_Cd = 'CMSUNIV' AND Table_Nm = 'ODAG3' AND Run_Ty = 'DLY';
-- revert after</t>
        </is>
      </c>
      <c r="G34" s="13" t="inlineStr">
        <is>
          <t>Airflow DAG OSSTD_CORE_CMS_COMPLIANCE_BATCH_CREATION
Trigger DAG w/ config:
{"project": "CMSUNIV"}</t>
        </is>
      </c>
      <c r="H34" s="13" t="inlineStr">
        <is>
          <t>1. Check the precondition and run the setup SQL
2. Prepare the input: Break a period code; run
3. Run the job
4. Run the verification SQL (replace &lt;batch&gt;, &lt;table&gt;)
5. Compare with the expected result and record the outcome
6. Revert the setup change</t>
        </is>
      </c>
      <c r="I34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34" s="13" t="inlineStr">
        <is>
          <t>Other batches still created; task fails (exit 1) with the error in the report; failure email</t>
        </is>
      </c>
      <c r="K34" s="15" t="inlineStr">
        <is>
          <t>Not Run</t>
        </is>
      </c>
      <c r="L34" s="15" t="inlineStr"/>
      <c r="M34" s="15" t="inlineStr"/>
      <c r="N34" s="15" t="inlineStr"/>
      <c r="O34" s="15" t="inlineStr"/>
      <c r="P34" s="15" t="inlineStr"/>
      <c r="Q34" s="15" t="inlineStr"/>
    </row>
    <row r="35">
      <c r="A35" s="12" t="inlineStr">
        <is>
          <t>IN-01</t>
        </is>
      </c>
      <c r="B35" s="13" t="inlineStr">
        <is>
          <t>Ad-hoc requests</t>
        </is>
      </c>
      <c r="C35" s="13" t="inlineStr">
        <is>
          <t>One-day request</t>
        </is>
      </c>
      <c r="D35" s="13" t="inlineStr">
        <is>
          <t>Above</t>
        </is>
      </c>
      <c r="E35" s="13" t="inlineStr">
        <is>
          <t>Insert into ComplianceRequestInTake, then run BATCH_CREATION.
INSERT INTO HSABC_DEV.ComplianceRequestInTake (Project_Cd, Table_Nm, Src_ID, Run_Ty, Cmplnc_Vrsn, Rpt_Start_Dt_Key, Rpt_End_Dt_Key, Req_Start_Dt_Key, Req_End_Dt_Key)
VALUES ('CMSUNIV', 'ODAG3', '51', 'CMS', '2200', DATE '2026-09-01', DATE '2026-09-30', CURRENT_DATE, CURRENT_DATE);</t>
        </is>
      </c>
      <c r="F35" s="14" t="inlineStr">
        <is>
          <t>INSERT INTO HSABC_DEV.ComplianceRequestInTake (Project_Cd, Table_Nm, Src_ID, Run_Ty, Cmplnc_Vrsn, Rpt_Start_Dt_Key, Rpt_End_Dt_Key, Req_Start_Dt_Key, Req_End_Dt_Key)
VALUES ('CMSUNIV', 'ODAG3', '51', 'CMS', '2200', DATE '2026-09-01', DATE '2026-09-30', CURRENT_DATE, CURRENT_DATE);</t>
        </is>
      </c>
      <c r="G35" s="13" t="inlineStr">
        <is>
          <t>Airflow DAG OSSTD_CORE_CMS_COMPLIANCE_BATCH_CREATION
Trigger DAG w/ config:
{"project": "CMSUNIV"}</t>
        </is>
      </c>
      <c r="H35" s="13" t="inlineStr">
        <is>
          <t>1. Check the precondition and run the setup SQL
2. Prepare the input: Above
3. Run the job
4. Run the verification SQL (replace &lt;batch&gt;, &lt;table&gt;)
5. Compare with the expected result and record the outcome</t>
        </is>
      </c>
      <c r="I35" s="14" t="inlineStr">
        <is>
          <t>SELECT Intake_ID, Table_Nm, Src_ID, Run_Ty, Req_Start_Dt_Key, Req_End_Dt_Key, Last_Run_Dt_Key FROM HSABC_DEV.ComplianceRequestInTake ORDER BY Intake_ID DESC;
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35" s="13" t="inlineStr">
        <is>
          <t>One …_ODAG3_CMS batch, source 51, the request's dates, SLA 1</t>
        </is>
      </c>
      <c r="K35" s="15" t="inlineStr">
        <is>
          <t>Not Run</t>
        </is>
      </c>
      <c r="L35" s="15" t="inlineStr"/>
      <c r="M35" s="15" t="inlineStr"/>
      <c r="N35" s="15" t="inlineStr"/>
      <c r="O35" s="15" t="inlineStr"/>
      <c r="P35" s="15" t="inlineStr"/>
      <c r="Q35" s="15" t="inlineStr"/>
    </row>
    <row r="36">
      <c r="A36" s="12" t="inlineStr">
        <is>
          <t>IN-02</t>
        </is>
      </c>
      <c r="B36" s="13" t="inlineStr">
        <is>
          <t>Ad-hoc requests</t>
        </is>
      </c>
      <c r="C36" s="13" t="inlineStr">
        <is>
          <t>Multi-day request</t>
        </is>
      </c>
      <c r="D36" s="13" t="inlineStr">
        <is>
          <t>Req_End_Dt_Key = CURRENT_DATE + 2; run 3 days (as_of)</t>
        </is>
      </c>
      <c r="E36" s="13" t="inlineStr">
        <is>
          <t>Insert into ComplianceRequestInTake, then run BATCH_CREATION.
INSERT INTO HSABC_DEV.ComplianceRequestInTake (Project_Cd, Table_Nm, Src_ID, Run_Ty, Cmplnc_Vrsn, Rpt_Start_Dt_Key, Rpt_End_Dt_Key, Req_Start_Dt_Key, Req_End_Dt_Key)
VALUES ('CMSUNIV', 'ODAG3', '51', 'CMS', '2200', DATE '2026-09-01', DATE '2026-09-30', CURRENT_DATE, CURRENT_DATE);</t>
        </is>
      </c>
      <c r="F36" s="14" t="inlineStr">
        <is>
          <t>INSERT INTO HSABC_DEV.ComplianceRequestInTake (Project_Cd, Table_Nm, Src_ID, Run_Ty, Cmplnc_Vrsn, Rpt_Start_Dt_Key, Rpt_End_Dt_Key, Req_Start_Dt_Key, Req_End_Dt_Key)
VALUES ('CMSUNIV', 'ODAG3', '51', 'CMS', '2200', DATE '2026-09-01', DATE '2026-09-30', CURRENT_DATE, CURRENT_DATE + 2);</t>
        </is>
      </c>
      <c r="G36" s="13" t="inlineStr">
        <is>
          <t>Airflow DAG OSSTD_CORE_CMS_COMPLIANCE_BATCH_CREATION
Trigger DAG w/ config:
{"project": "CMSUNIV"}</t>
        </is>
      </c>
      <c r="H36" s="13" t="inlineStr">
        <is>
          <t>1. Check the precondition and run the setup SQL
2. Prepare the input: Req_End_Dt_Key = CURRENT_DATE + 2; run 3 days (as_of)
3. Run the job
4. Run the verification SQL (replace &lt;batch&gt;, &lt;table&gt;)
5. Compare with the expected result and record the outcome</t>
        </is>
      </c>
      <c r="I36" s="14" t="inlineStr">
        <is>
          <t>SELECT Intake_ID, Table_Nm, Src_ID, Run_Ty, Req_Start_Dt_Key, Req_End_Dt_Key, Last_Run_Dt_Key FROM HSABC_DEV.ComplianceRequestInTake ORDER BY Intake_ID DESC;
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36" s="13" t="inlineStr">
        <is>
          <t>One batch per day</t>
        </is>
      </c>
      <c r="K36" s="15" t="inlineStr">
        <is>
          <t>Not Run</t>
        </is>
      </c>
      <c r="L36" s="15" t="inlineStr"/>
      <c r="M36" s="15" t="inlineStr"/>
      <c r="N36" s="15" t="inlineStr"/>
      <c r="O36" s="15" t="inlineStr"/>
      <c r="P36" s="15" t="inlineStr"/>
      <c r="Q36" s="15" t="inlineStr"/>
    </row>
    <row r="37">
      <c r="A37" s="12" t="inlineStr">
        <is>
          <t>IN-03</t>
        </is>
      </c>
      <c r="B37" s="13" t="inlineStr">
        <is>
          <t>Ad-hoc requests</t>
        </is>
      </c>
      <c r="C37" s="13" t="inlineStr">
        <is>
          <t>No crosswalk needed</t>
        </is>
      </c>
      <c r="D37" s="13" t="inlineStr">
        <is>
          <t>Source without a CMS crosswalk row</t>
        </is>
      </c>
      <c r="E37" s="13" t="inlineStr">
        <is>
          <t>Insert into ComplianceRequestInTake, then run BATCH_CREATION.
INSERT INTO HSABC_DEV.ComplianceRequestInTake (Project_Cd, Table_Nm, Src_ID, Run_Ty, Cmplnc_Vrsn, Rpt_Start_Dt_Key, Rpt_End_Dt_Key, Req_Start_Dt_Key, Req_End_Dt_Key)
VALUES ('CMSUNIV', 'ODAG3', '51', 'CMS', '2200', DATE '2026-09-01', DATE '2026-09-30', CURRENT_DATE, CURRENT_DATE);</t>
        </is>
      </c>
      <c r="F37" s="14" t="inlineStr"/>
      <c r="G37" s="13" t="inlineStr">
        <is>
          <t>Airflow DAG OSSTD_CORE_CMS_COMPLIANCE_BATCH_CREATION
Trigger DAG w/ config:
{"project": "CMSUNIV"}</t>
        </is>
      </c>
      <c r="H37" s="13" t="inlineStr">
        <is>
          <t>1. Check the precondition
2. Prepare the input: Source without a CMS crosswalk row
3. Run the job
4. Run the verification SQL (replace &lt;batch&gt;, &lt;table&gt;)
5. Compare with the expected result and record the outcome</t>
        </is>
      </c>
      <c r="I37" s="14" t="inlineStr">
        <is>
          <t>SELECT Intake_ID, Table_Nm, Src_ID, Run_Ty, Req_Start_Dt_Key, Req_End_Dt_Key, Last_Run_Dt_Key FROM HSABC_DEV.ComplianceRequestInTake ORDER BY Intake_ID DESC;
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37" s="13" t="inlineStr">
        <is>
          <t>Batch still created</t>
        </is>
      </c>
      <c r="K37" s="15" t="inlineStr">
        <is>
          <t>Not Run</t>
        </is>
      </c>
      <c r="L37" s="15" t="inlineStr"/>
      <c r="M37" s="15" t="inlineStr"/>
      <c r="N37" s="15" t="inlineStr"/>
      <c r="O37" s="15" t="inlineStr"/>
      <c r="P37" s="15" t="inlineStr"/>
      <c r="Q37" s="15" t="inlineStr"/>
    </row>
    <row r="38">
      <c r="A38" s="12" t="inlineStr">
        <is>
          <t>IN-04</t>
        </is>
      </c>
      <c r="B38" s="13" t="inlineStr">
        <is>
          <t>Ad-hoc requests</t>
        </is>
      </c>
      <c r="C38" s="13" t="inlineStr">
        <is>
          <t>Missing config</t>
        </is>
      </c>
      <c r="D38" s="13" t="inlineStr">
        <is>
          <t>Source with no file / internal config for the table</t>
        </is>
      </c>
      <c r="E38" s="13" t="inlineStr">
        <is>
          <t>Insert into ComplianceRequestInTake, then run BATCH_CREATION.
INSERT INTO HSABC_DEV.ComplianceRequestInTake (Project_Cd, Table_Nm, Src_ID, Run_Ty, Cmplnc_Vrsn, Rpt_Start_Dt_Key, Rpt_End_Dt_Key, Req_Start_Dt_Key, Req_End_Dt_Key)
VALUES ('CMSUNIV', 'ODAG3', '51', 'CMS', '2200', DATE '2026-09-01', DATE '2026-09-30', CURRENT_DATE, CURRENT_DATE);</t>
        </is>
      </c>
      <c r="F38" s="14" t="inlineStr">
        <is>
          <t>INSERT INTO HSABC_DEV.ComplianceRequestInTake (Project_Cd, Table_Nm, Src_ID, Run_Ty, Cmplnc_Vrsn, Rpt_Start_Dt_Key, Rpt_End_Dt_Key, Req_Start_Dt_Key, Req_End_Dt_Key)
VALUES ('CMSUNIV', 'ODAG3', '999', 'CMS', '2200', DATE '2026-09-01', DATE '2026-09-30', CURRENT_DATE, CURRENT_DATE);</t>
        </is>
      </c>
      <c r="G38" s="13" t="inlineStr">
        <is>
          <t>Airflow DAG OSSTD_CORE_CMS_COMPLIANCE_BATCH_CREATION
Trigger DAG w/ config:
{"project": "CMSUNIV"}</t>
        </is>
      </c>
      <c r="H38" s="13" t="inlineStr">
        <is>
          <t>1. Check the precondition and run the setup SQL
2. Prepare the input: Source with no file / internal config for the table
3. Run the job
4. Run the verification SQL (replace &lt;batch&gt;, &lt;table&gt;)
5. Compare with the expected result and record the outcome</t>
        </is>
      </c>
      <c r="I38" s="14" t="inlineStr">
        <is>
          <t>SELECT Intake_ID, Table_Nm, Src_ID, Run_Ty, Req_Start_Dt_Key, Req_End_Dt_Key, Last_Run_Dt_Key FROM HSABC_DEV.ComplianceRequestInTake ORDER BY Intake_ID DESC;
SELECT TOP 20 Event_ID, Event_Ty, Sevrty, Btch_ID, Src_ID, Event_Txt, Notified_Ind
FROM HSABC_DEV.CMS_ComplianceExceptionsAudit ORDER BY Event_ID DESC;</t>
        </is>
      </c>
      <c r="J38" s="13" t="inlineStr">
        <is>
          <t>INTAKE_FAILED alert; no batch; validate-config INTAKE_REQUEST</t>
        </is>
      </c>
      <c r="K38" s="15" t="inlineStr">
        <is>
          <t>Not Run</t>
        </is>
      </c>
      <c r="L38" s="15" t="inlineStr"/>
      <c r="M38" s="15" t="inlineStr"/>
      <c r="N38" s="15" t="inlineStr"/>
      <c r="O38" s="15" t="inlineStr"/>
      <c r="P38" s="15" t="inlineStr"/>
      <c r="Q38" s="15" t="inlineStr"/>
    </row>
    <row r="39">
      <c r="A39" s="12" t="inlineStr">
        <is>
          <t>IN-05</t>
        </is>
      </c>
      <c r="B39" s="13" t="inlineStr">
        <is>
          <t>Ad-hoc requests</t>
        </is>
      </c>
      <c r="C39" s="13" t="inlineStr">
        <is>
          <t>Ad hoc held</t>
        </is>
      </c>
      <c r="D39" s="13" t="inlineStr">
        <is>
          <t>Load the file</t>
        </is>
      </c>
      <c r="E39" s="13" t="inlineStr">
        <is>
          <t>Insert into ComplianceRequestInTake, then run BATCH_CREATION.
INSERT INTO HSABC_DEV.ComplianceRequestInTake (Project_Cd, Table_Nm, Src_ID, Run_Ty, Cmplnc_Vrsn, Rpt_Start_Dt_Key, Rpt_End_Dt_Key, Req_Start_Dt_Key, Req_End_Dt_Key)
VALUES ('CMSUNIV', 'ODAG3', '51', 'CMS', '2200', DATE '2026-09-01', DATE '2026-09-30', CURRENT_DATE, CURRENT_DATE);</t>
        </is>
      </c>
      <c r="F39" s="14" t="inlineStr"/>
      <c r="G39" s="13" t="inlineStr">
        <is>
          <t>Airflow DAG OSSTD_CORE_CMS_COMPLIANCE_FILE_LOAD
Trigger DAG w/ config:
{"project": "CMSUNIV"}
then Airflow DAG OSSTD_CORE_CMS_COMPLIANCE_EXPORT_LOAD
Trigger DAG w/ config:
{"project": "CMSUNIV"}</t>
        </is>
      </c>
      <c r="H39" s="13" t="inlineStr">
        <is>
          <t>1. Check the precondition
2. Prepare the input: Load the file
3. Run the job
4. Run the verification SQL (replace &lt;batch&gt;, &lt;table&gt;)
5. Compare with the expected result and record the outcome</t>
        </is>
      </c>
      <c r="I39" s="14" t="inlineStr">
        <is>
          <t>SELECT Load_ID, File_Path, Load_Stat, Reject_Rsn_Cd, Rules_Stat, Stg_Rcd_Cnt, Error_Txt, Updated_Dtts
FROM HSABC_DEV.ComplianceFileLoad WHERE Btch_ID = '&lt;batch&gt;' ORDER BY Load_ID DESC;
SELECT Btch_ID, Src_ID, Req_Stat, Resolution_Ty, Batch_Close_Ind, Reuse_Btch_ID, Rpt_Start_Dt_Key, Rpt_End_Dt_Key
FROM HSABC_DEV.ComplianceRequestControl WHERE Btch_ID = '&lt;batch&gt;' ORDER BY Src_ID;</t>
        </is>
      </c>
      <c r="J39" s="13" t="inlineStr">
        <is>
          <t>Loaded; SOURCE_LOAD / EXPORT_LOAD list it under held until released</t>
        </is>
      </c>
      <c r="K39" s="15" t="inlineStr">
        <is>
          <t>Not Run</t>
        </is>
      </c>
      <c r="L39" s="15" t="inlineStr"/>
      <c r="M39" s="15" t="inlineStr"/>
      <c r="N39" s="15" t="inlineStr"/>
      <c r="O39" s="15" t="inlineStr"/>
      <c r="P39" s="15" t="inlineStr"/>
      <c r="Q39" s="15" t="inlineStr"/>
    </row>
    <row r="40">
      <c r="A40" s="12" t="inlineStr">
        <is>
          <t>IN-06</t>
        </is>
      </c>
      <c r="B40" s="13" t="inlineStr">
        <is>
          <t>Ad-hoc requests</t>
        </is>
      </c>
      <c r="C40" s="13" t="inlineStr">
        <is>
          <t>Release</t>
        </is>
      </c>
      <c r="D40" s="13" t="inlineStr">
        <is>
          <t>EXPORT_LOAD {"project":"CMSUNIV","run_type":"CMS","release":"true"}</t>
        </is>
      </c>
      <c r="E40" s="13" t="inlineStr">
        <is>
          <t>Insert into ComplianceRequestInTake, then run BATCH_CREATION.
INSERT INTO HSABC_DEV.ComplianceRequestInTake (Project_Cd, Table_Nm, Src_ID, Run_Ty, Cmplnc_Vrsn, Rpt_Start_Dt_Key, Rpt_End_Dt_Key, Req_Start_Dt_Key, Req_End_Dt_Key)
VALUES ('CMSUNIV', 'ODAG3', '51', 'CMS', '2200', DATE '2026-09-01', DATE '2026-09-30', CURRENT_DATE, CURRENT_DATE);</t>
        </is>
      </c>
      <c r="F40" s="14" t="inlineStr"/>
      <c r="G40" s="13" t="inlineStr">
        <is>
          <t>Airflow DAG OSSTD_CORE_CMS_COMPLIANCE_EXPORT_LOAD
Trigger DAG w/ config:
{"project": "CMSUNIV", "run_type": "CMS", "release": "true"}</t>
        </is>
      </c>
      <c r="H40" s="13" t="inlineStr">
        <is>
          <t>1. Check the precondition
2. Prepare the input: EXPORT_LOAD {"project":"CMSUNIV","run_type":"CMS","release":"true"}
3. Run the job
4. Run the verification SQL (replace &lt;batch&gt;, &lt;table&gt;)
5. Compare with the expected result and record the outcome</t>
        </is>
      </c>
      <c r="I40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40" s="13" t="inlineStr">
        <is>
          <t>Exported; BATCH_RELEASED on the timeline</t>
        </is>
      </c>
      <c r="K40" s="15" t="inlineStr">
        <is>
          <t>Not Run</t>
        </is>
      </c>
      <c r="L40" s="15" t="inlineStr"/>
      <c r="M40" s="15" t="inlineStr"/>
      <c r="N40" s="15" t="inlineStr"/>
      <c r="O40" s="15" t="inlineStr"/>
      <c r="P40" s="15" t="inlineStr"/>
      <c r="Q40" s="15" t="inlineStr"/>
    </row>
    <row r="41">
      <c r="A41" s="12" t="inlineStr">
        <is>
          <t>IN-07</t>
        </is>
      </c>
      <c r="B41" s="13" t="inlineStr">
        <is>
          <t>Ad-hoc requests</t>
        </is>
      </c>
      <c r="C41" s="13" t="inlineStr">
        <is>
          <t>Rerun</t>
        </is>
      </c>
      <c r="D41" s="13" t="inlineStr">
        <is>
          <t>Run BATCH_CREATION again same day</t>
        </is>
      </c>
      <c r="E41" s="13" t="inlineStr">
        <is>
          <t>Insert into ComplianceRequestInTake, then run BATCH_CREATION.
INSERT INTO HSABC_DEV.ComplianceRequestInTake (Project_Cd, Table_Nm, Src_ID, Run_Ty, Cmplnc_Vrsn, Rpt_Start_Dt_Key, Rpt_End_Dt_Key, Req_Start_Dt_Key, Req_End_Dt_Key)
VALUES ('CMSUNIV', 'ODAG3', '51', 'CMS', '2200', DATE '2026-09-01', DATE '2026-09-30', CURRENT_DATE, CURRENT_DATE);</t>
        </is>
      </c>
      <c r="F41" s="14" t="inlineStr"/>
      <c r="G41" s="13" t="inlineStr">
        <is>
          <t>Airflow DAG OSSTD_CORE_CMS_COMPLIANCE_BATCH_CREATION
Trigger DAG w/ config:
{"project": "CMSUNIV"}</t>
        </is>
      </c>
      <c r="H41" s="13" t="inlineStr">
        <is>
          <t>1. Check the precondition
2. Prepare the input: Run BATCH_CREATION again same day
3. Run the job
4. Run the verification SQL (replace &lt;batch&gt;, &lt;table&gt;)
5. Compare with the expected result and record the outcome</t>
        </is>
      </c>
      <c r="I41" s="14" t="inlineStr">
        <is>
          <t>SELECT Intake_ID, Table_Nm, Src_ID, Run_Ty, Req_Start_Dt_Key, Req_End_Dt_Key, Last_Run_Dt_Key FROM HSABC_DEV.ComplianceRequestInTake ORDER BY Intake_ID DESC;
SELECT Btch_ID, Src_ID, Run_Ty, Rpt_Start_Dt_Key, Rpt_End_Dt_Key, Req_Dt_Key, Req_Stat, Resolution_Ty, Batch_Close_Ind, Cmplnc_Vrsn
FROM HSABC_DEV.ComplianceRequestControl
WHERE Project_Cd = 'CMSUNIV' AND Req_Dt_Key = CURRENT_DATE
ORDER BY Btch_ID, Src_ID;</t>
        </is>
      </c>
      <c r="J41" s="13" t="inlineStr">
        <is>
          <t>No duplicate</t>
        </is>
      </c>
      <c r="K41" s="15" t="inlineStr">
        <is>
          <t>Not Run</t>
        </is>
      </c>
      <c r="L41" s="15" t="inlineStr"/>
      <c r="M41" s="15" t="inlineStr"/>
      <c r="N41" s="15" t="inlineStr"/>
      <c r="O41" s="15" t="inlineStr"/>
      <c r="P41" s="15" t="inlineStr"/>
      <c r="Q41" s="15" t="inlineStr"/>
    </row>
    <row r="42">
      <c r="A42" s="12" t="inlineStr">
        <is>
          <t>FC-01</t>
        </is>
      </c>
      <c r="B42" s="13" t="inlineStr">
        <is>
          <t>File check</t>
        </is>
      </c>
      <c r="C42" s="13" t="inlineStr">
        <is>
          <t>Good file passes</t>
        </is>
      </c>
      <c r="D42" s="13" t="inlineStr">
        <is>
          <t>File: GOOD</t>
        </is>
      </c>
      <c r="E42" s="13" t="inlineStr">
        <is>
          <t>Put the file in the inbound folder, trigger FILE_CHECK. Nothing is loaded. FILE_CHECK has CHECK_MOVE_FAILED = true.</t>
        </is>
      </c>
      <c r="F42" s="14" t="inlineStr"/>
      <c r="G42" s="13" t="inlineStr">
        <is>
          <t>Airflow DAG OSSTD_CORE_CMS_COMPLIANCE_FILE_CHECK
Trigger DAG w/ config:
{"project": "CMSUNIV"}</t>
        </is>
      </c>
      <c r="H42" s="13" t="inlineStr">
        <is>
          <t>1. Check the precondition
2. Prepare the input: File: GOOD
3. Run the job
4. Run the verification SQL (replace &lt;batch&gt;, &lt;table&gt;)
5. Compare with the expected result and record the outcome</t>
        </is>
      </c>
      <c r="I42" s="14" t="inlineStr">
        <is>
          <t>SELECT TOP 20 Event_ID, Event_Ty, Sevrty, Btch_ID, Src_ID, Event_Txt, Notified_Ind
FROM HSABC_DEV.CMS_ComplianceExceptionsAudit ORDER BY Event_ID DESC;</t>
        </is>
      </c>
      <c r="J42" s="13" t="inlineStr">
        <is>
          <t>Report file PASSED; FILE_CHECK_PASSED (not emailed); file stays; FILE_LOAD triggered</t>
        </is>
      </c>
      <c r="K42" s="15" t="inlineStr">
        <is>
          <t>Not Run</t>
        </is>
      </c>
      <c r="L42" s="15" t="inlineStr"/>
      <c r="M42" s="15" t="inlineStr"/>
      <c r="N42" s="15" t="inlineStr"/>
      <c r="O42" s="15" t="inlineStr"/>
      <c r="P42" s="15" t="inlineStr"/>
      <c r="Q42" s="15" t="inlineStr"/>
    </row>
    <row r="43">
      <c r="A43" s="12" t="inlineStr">
        <is>
          <t>FC-02</t>
        </is>
      </c>
      <c r="B43" s="13" t="inlineStr">
        <is>
          <t>File check</t>
        </is>
      </c>
      <c r="C43" s="13" t="inlineStr">
        <is>
          <t>Header</t>
        </is>
      </c>
      <c r="D43" s="13" t="inlineStr">
        <is>
          <t>File: BAD_HEADER</t>
        </is>
      </c>
      <c r="E43" s="13" t="inlineStr">
        <is>
          <t>Put the file in the inbound folder, trigger FILE_CHECK. Nothing is loaded. FILE_CHECK has CHECK_MOVE_FAILED = true.</t>
        </is>
      </c>
      <c r="F43" s="14" t="inlineStr"/>
      <c r="G43" s="13" t="inlineStr">
        <is>
          <t>Airflow DAG OSSTD_CORE_CMS_COMPLIANCE_FILE_CHECK
Trigger DAG w/ config:
{"project": "CMSUNIV"}</t>
        </is>
      </c>
      <c r="H43" s="13" t="inlineStr">
        <is>
          <t>1. Check the precondition
2. Prepare the input: File: BAD_HEADER
3. Run the job
4. Run the verification SQL (replace &lt;batch&gt;, &lt;table&gt;)
5. Compare with the expected result and record the outcome</t>
        </is>
      </c>
      <c r="I43" s="14" t="inlineStr">
        <is>
          <t>SELECT TOP 20 Event_ID, Event_Ty, Sevrty, Btch_ID, Src_ID, Event_Txt, Notified_Ind
FROM HSABC_DEV.CMS_ComplianceExceptionsAudit ORDER BY Event_ID DESC;</t>
        </is>
      </c>
      <c r="J43" s="13" t="inlineStr">
        <is>
          <t>FAILED, "header is not the expected one: column n"; error log in ErrorLog/; file moved to Error/; task fails; FILE_LOAD not triggered</t>
        </is>
      </c>
      <c r="K43" s="15" t="inlineStr">
        <is>
          <t>Not Run</t>
        </is>
      </c>
      <c r="L43" s="15" t="inlineStr"/>
      <c r="M43" s="15" t="inlineStr"/>
      <c r="N43" s="15" t="inlineStr"/>
      <c r="O43" s="15" t="inlineStr"/>
      <c r="P43" s="15" t="inlineStr"/>
      <c r="Q43" s="15" t="inlineStr"/>
    </row>
    <row r="44">
      <c r="A44" s="12" t="inlineStr">
        <is>
          <t>FC-03</t>
        </is>
      </c>
      <c r="B44" s="13" t="inlineStr">
        <is>
          <t>File check</t>
        </is>
      </c>
      <c r="C44" s="13" t="inlineStr">
        <is>
          <t>Trailer count</t>
        </is>
      </c>
      <c r="D44" s="13" t="inlineStr">
        <is>
          <t>File: BAD_COUNT</t>
        </is>
      </c>
      <c r="E44" s="13" t="inlineStr">
        <is>
          <t>Put the file in the inbound folder, trigger FILE_CHECK. Nothing is loaded. FILE_CHECK has CHECK_MOVE_FAILED = true.</t>
        </is>
      </c>
      <c r="F44" s="14" t="inlineStr"/>
      <c r="G44" s="13" t="inlineStr">
        <is>
          <t>Airflow DAG OSSTD_CORE_CMS_COMPLIANCE_FILE_CHECK
Trigger DAG w/ config:
{"project": "CMSUNIV"}</t>
        </is>
      </c>
      <c r="H44" s="13" t="inlineStr">
        <is>
          <t>1. Check the precondition
2. Prepare the input: File: BAD_COUNT
3. Run the job
4. Run the verification SQL (replace &lt;batch&gt;, &lt;table&gt;)
5. Compare with the expected result and record the outcome</t>
        </is>
      </c>
      <c r="I44" s="14" t="inlineStr">
        <is>
          <t>SELECT TOP 20 Event_ID, Event_Ty, Sevrty, Btch_ID, Src_ID, Event_Txt, Notified_Ind
FROM HSABC_DEV.CMS_ComplianceExceptionsAudit ORDER BY Event_ID DESC;</t>
        </is>
      </c>
      <c r="J44" s="13" t="inlineStr">
        <is>
          <t>FAILED trailer count</t>
        </is>
      </c>
      <c r="K44" s="15" t="inlineStr">
        <is>
          <t>Not Run</t>
        </is>
      </c>
      <c r="L44" s="15" t="inlineStr"/>
      <c r="M44" s="15" t="inlineStr"/>
      <c r="N44" s="15" t="inlineStr"/>
      <c r="O44" s="15" t="inlineStr"/>
      <c r="P44" s="15" t="inlineStr"/>
      <c r="Q44" s="15" t="inlineStr"/>
    </row>
    <row r="45">
      <c r="A45" s="12" t="inlineStr">
        <is>
          <t>FC-04</t>
        </is>
      </c>
      <c r="B45" s="13" t="inlineStr">
        <is>
          <t>File check</t>
        </is>
      </c>
      <c r="C45" s="13" t="inlineStr">
        <is>
          <t>Records</t>
        </is>
      </c>
      <c r="D45" s="13" t="inlineStr">
        <is>
          <t>File: BAD_RECORD</t>
        </is>
      </c>
      <c r="E45" s="13" t="inlineStr">
        <is>
          <t>Put the file in the inbound folder, trigger FILE_CHECK. Nothing is loaded. FILE_CHECK has CHECK_MOVE_FAILED = true.</t>
        </is>
      </c>
      <c r="F45" s="14" t="inlineStr"/>
      <c r="G45" s="13" t="inlineStr">
        <is>
          <t>Airflow DAG OSSTD_CORE_CMS_COMPLIANCE_FILE_CHECK
Trigger DAG w/ config:
{"project": "CMSUNIV"}</t>
        </is>
      </c>
      <c r="H45" s="13" t="inlineStr">
        <is>
          <t>1. Check the precondition
2. Prepare the input: File: BAD_RECORD
3. Run the job
4. Run the verification SQL (replace &lt;batch&gt;, &lt;table&gt;)
5. Compare with the expected result and record the outcome</t>
        </is>
      </c>
      <c r="I45" s="14" t="inlineStr">
        <is>
          <t>SELECT TOP 20 Event_ID, Event_Ty, Sevrty, Btch_ID, Src_ID, Event_Txt, Notified_Ind
FROM HSABC_DEV.CMS_ComplianceExceptionsAudit ORDER BY Event_ID DESC;</t>
        </is>
      </c>
      <c r="J45" s="13" t="inlineStr">
        <is>
          <t>Column count and blank line findings with line numbers</t>
        </is>
      </c>
      <c r="K45" s="15" t="inlineStr">
        <is>
          <t>Not Run</t>
        </is>
      </c>
      <c r="L45" s="15" t="inlineStr"/>
      <c r="M45" s="15" t="inlineStr"/>
      <c r="N45" s="15" t="inlineStr"/>
      <c r="O45" s="15" t="inlineStr"/>
      <c r="P45" s="15" t="inlineStr"/>
      <c r="Q45" s="15" t="inlineStr"/>
    </row>
    <row r="46">
      <c r="A46" s="12" t="inlineStr">
        <is>
          <t>FC-05</t>
        </is>
      </c>
      <c r="B46" s="13" t="inlineStr">
        <is>
          <t>File check</t>
        </is>
      </c>
      <c r="C46" s="13" t="inlineStr">
        <is>
          <t>Values</t>
        </is>
      </c>
      <c r="D46" s="13" t="inlineStr">
        <is>
          <t>File: BAD_VALUE</t>
        </is>
      </c>
      <c r="E46" s="13" t="inlineStr">
        <is>
          <t>Put the file in the inbound folder, trigger FILE_CHECK. Nothing is loaded. FILE_CHECK has CHECK_MOVE_FAILED = true.</t>
        </is>
      </c>
      <c r="F46" s="14" t="inlineStr"/>
      <c r="G46" s="13" t="inlineStr">
        <is>
          <t>Airflow DAG OSSTD_CORE_CMS_COMPLIANCE_FILE_CHECK
Trigger DAG w/ config:
{"project": "CMSUNIV"}</t>
        </is>
      </c>
      <c r="H46" s="13" t="inlineStr">
        <is>
          <t>1. Check the precondition
2. Prepare the input: File: BAD_VALUE
3. Run the job
4. Run the verification SQL (replace &lt;batch&gt;, &lt;table&gt;)
5. Compare with the expected result and record the outcome</t>
        </is>
      </c>
      <c r="I46" s="14" t="inlineStr">
        <is>
          <t>SELECT TOP 20 Event_ID, Event_Ty, Sevrty, Btch_ID, Src_ID, Event_Txt, Notified_Ind
FROM HSABC_DEV.CMS_ComplianceExceptionsAudit ORDER BY Event_ID DESC;</t>
        </is>
      </c>
      <c r="J46" s="13" t="inlineStr">
        <is>
          <t>VALUE_IN / DATE_FORMAT / LENGTH finding naming the field</t>
        </is>
      </c>
      <c r="K46" s="15" t="inlineStr">
        <is>
          <t>Not Run</t>
        </is>
      </c>
      <c r="L46" s="15" t="inlineStr"/>
      <c r="M46" s="15" t="inlineStr"/>
      <c r="N46" s="15" t="inlineStr"/>
      <c r="O46" s="15" t="inlineStr"/>
      <c r="P46" s="15" t="inlineStr"/>
      <c r="Q46" s="15" t="inlineStr"/>
    </row>
    <row r="47">
      <c r="A47" s="12" t="inlineStr">
        <is>
          <t>FC-06</t>
        </is>
      </c>
      <c r="B47" s="13" t="inlineStr">
        <is>
          <t>File check</t>
        </is>
      </c>
      <c r="C47" s="13" t="inlineStr">
        <is>
          <t>Name</t>
        </is>
      </c>
      <c r="D47" s="13" t="inlineStr">
        <is>
          <t>File: BAD_NAME</t>
        </is>
      </c>
      <c r="E47" s="13" t="inlineStr">
        <is>
          <t>Put the file in the inbound folder, trigger FILE_CHECK. Nothing is loaded. FILE_CHECK has CHECK_MOVE_FAILED = true.</t>
        </is>
      </c>
      <c r="F47" s="14" t="inlineStr"/>
      <c r="G47" s="13" t="inlineStr">
        <is>
          <t>Airflow DAG OSSTD_CORE_CMS_COMPLIANCE_FILE_CHECK
Trigger DAG w/ config:
{"project": "CMSUNIV"}</t>
        </is>
      </c>
      <c r="H47" s="13" t="inlineStr">
        <is>
          <t>1. Check the precondition
2. Prepare the input: File: BAD_NAME
3. Run the job
4. Run the verification SQL (replace &lt;batch&gt;, &lt;table&gt;)
5. Compare with the expected result and record the outcome</t>
        </is>
      </c>
      <c r="I47" s="14" t="inlineStr">
        <is>
          <t>SELECT TOP 20 Event_ID, Event_Ty, Sevrty, Btch_ID, Src_ID, Event_Txt, Notified_Ind
FROM HSABC_DEV.CMS_ComplianceExceptionsAudit ORDER BY Event_ID DESC;</t>
        </is>
      </c>
      <c r="J47" s="13" t="inlineStr">
        <is>
          <t>FILE_REJECTED_UNPARSEABLE / INVALID_TOKEN</t>
        </is>
      </c>
      <c r="K47" s="15" t="inlineStr">
        <is>
          <t>Not Run</t>
        </is>
      </c>
      <c r="L47" s="15" t="inlineStr"/>
      <c r="M47" s="15" t="inlineStr"/>
      <c r="N47" s="15" t="inlineStr"/>
      <c r="O47" s="15" t="inlineStr"/>
      <c r="P47" s="15" t="inlineStr"/>
      <c r="Q47" s="15" t="inlineStr"/>
    </row>
    <row r="48">
      <c r="A48" s="12" t="inlineStr">
        <is>
          <t>FC-07</t>
        </is>
      </c>
      <c r="B48" s="13" t="inlineStr">
        <is>
          <t>File check</t>
        </is>
      </c>
      <c r="C48" s="13" t="inlineStr">
        <is>
          <t>No batch</t>
        </is>
      </c>
      <c r="D48" s="13" t="inlineStr">
        <is>
          <t>File: NO_BATCH</t>
        </is>
      </c>
      <c r="E48" s="13" t="inlineStr">
        <is>
          <t>Put the file in the inbound folder, trigger FILE_CHECK. Nothing is loaded. FILE_CHECK has CHECK_MOVE_FAILED = true.</t>
        </is>
      </c>
      <c r="F48" s="14" t="inlineStr"/>
      <c r="G48" s="13" t="inlineStr">
        <is>
          <t>Airflow DAG OSSTD_CORE_CMS_COMPLIANCE_FILE_CHECK
Trigger DAG w/ config:
{"project": "CMSUNIV"}</t>
        </is>
      </c>
      <c r="H48" s="13" t="inlineStr">
        <is>
          <t>1. Check the precondition
2. Prepare the input: File: NO_BATCH
3. Run the job
4. Run the verification SQL (replace &lt;batch&gt;, &lt;table&gt;)
5. Compare with the expected result and record the outcome</t>
        </is>
      </c>
      <c r="I48" s="14" t="inlineStr">
        <is>
          <t>SELECT TOP 20 Event_ID, Event_Ty, Sevrty, Btch_ID, Src_ID, Event_Txt, Notified_Ind
FROM HSABC_DEV.CMS_ComplianceExceptionsAudit ORDER BY Event_ID DESC;</t>
        </is>
      </c>
      <c r="J48" s="13" t="inlineStr">
        <is>
          <t>"no batch exists for this period"</t>
        </is>
      </c>
      <c r="K48" s="15" t="inlineStr">
        <is>
          <t>Not Run</t>
        </is>
      </c>
      <c r="L48" s="15" t="inlineStr"/>
      <c r="M48" s="15" t="inlineStr"/>
      <c r="N48" s="15" t="inlineStr"/>
      <c r="O48" s="15" t="inlineStr"/>
      <c r="P48" s="15" t="inlineStr"/>
      <c r="Q48" s="15" t="inlineStr"/>
    </row>
    <row r="49">
      <c r="A49" s="12" t="inlineStr">
        <is>
          <t>FC-08</t>
        </is>
      </c>
      <c r="B49" s="13" t="inlineStr">
        <is>
          <t>File check</t>
        </is>
      </c>
      <c r="C49" s="13" t="inlineStr">
        <is>
          <t>Still arriving</t>
        </is>
      </c>
      <c r="D49" s="13" t="inlineStr">
        <is>
          <t>File: Copy a file and run within 120 s</t>
        </is>
      </c>
      <c r="E49" s="13" t="inlineStr">
        <is>
          <t>Put the file in the inbound folder, trigger FILE_CHECK. Nothing is loaded. FILE_CHECK has CHECK_MOVE_FAILED = true.</t>
        </is>
      </c>
      <c r="F49" s="14" t="inlineStr"/>
      <c r="G49" s="13" t="inlineStr">
        <is>
          <t>Airflow DAG OSSTD_CORE_CMS_COMPLIANCE_FILE_CHECK
Trigger DAG w/ config:
{"project": "CMSUNIV"}</t>
        </is>
      </c>
      <c r="H49" s="13" t="inlineStr">
        <is>
          <t>1. Check the precondition
2. Prepare the input: File: Copy a file and run within 120 s
3. Run the job
4. Run the verification SQL (replace &lt;batch&gt;, &lt;table&gt;)
5. Compare with the expected result and record the outcome</t>
        </is>
      </c>
      <c r="I49" s="14" t="inlineStr">
        <is>
          <t>SELECT TOP 20 Event_ID, Event_Ty, Sevrty, Btch_ID, Src_ID, Event_Txt, Notified_Ind
FROM HSABC_DEV.CMS_ComplianceExceptionsAudit ORDER BY Event_ID DESC;</t>
        </is>
      </c>
      <c r="J49" s="13" t="inlineStr">
        <is>
          <t>File skipped ("still arriving"), checked next run</t>
        </is>
      </c>
      <c r="K49" s="15" t="inlineStr">
        <is>
          <t>Not Run</t>
        </is>
      </c>
      <c r="L49" s="15" t="inlineStr"/>
      <c r="M49" s="15" t="inlineStr"/>
      <c r="N49" s="15" t="inlineStr"/>
      <c r="O49" s="15" t="inlineStr"/>
      <c r="P49" s="15" t="inlineStr"/>
      <c r="Q49" s="15" t="inlineStr"/>
    </row>
    <row r="50">
      <c r="A50" s="12" t="inlineStr">
        <is>
          <t>FC-09</t>
        </is>
      </c>
      <c r="B50" s="13" t="inlineStr">
        <is>
          <t>File check</t>
        </is>
      </c>
      <c r="C50" s="13" t="inlineStr">
        <is>
          <t>Keep the chain going</t>
        </is>
      </c>
      <c r="D50" s="13" t="inlineStr">
        <is>
          <t>File: FILE_CHECK Variable "fail_on_problems": false; one good + one bad file</t>
        </is>
      </c>
      <c r="E50" s="13" t="inlineStr">
        <is>
          <t>Put the file in the inbound folder, trigger FILE_CHECK. Nothing is loaded. FILE_CHECK has CHECK_MOVE_FAILED = true.</t>
        </is>
      </c>
      <c r="F50" s="14" t="inlineStr">
        <is>
          <t>Airflow Variable compliance_file_check_config_var: add "fail_on_problems": false</t>
        </is>
      </c>
      <c r="G50" s="13" t="inlineStr">
        <is>
          <t>Airflow DAG OSSTD_CORE_CMS_COMPLIANCE_FILE_CHECK
Trigger DAG w/ config:
{"project": "CMSUNIV"}</t>
        </is>
      </c>
      <c r="H50" s="13" t="inlineStr">
        <is>
          <t>1. Check the precondition and run the setup SQL
2. Prepare the input: File: FILE_CHECK Variable "fail_on_problems": false; one good + one bad file
3. Run the job
4. Run the verification SQL (replace &lt;batch&gt;, &lt;table&gt;)
5. Compare with the expected result and record the outcome</t>
        </is>
      </c>
      <c r="I50" s="14" t="inlineStr">
        <is>
          <t>SELECT TOP 20 Event_ID, Event_Ty, Sevrty, Btch_ID, Src_ID, Event_Txt, Notified_Ind
FROM HSABC_DEV.CMS_ComplianceExceptionsAudit ORDER BY Event_ID DESC;</t>
        </is>
      </c>
      <c r="J50" s="13" t="inlineStr">
        <is>
          <t>Task succeeds; FILE_LOAD still triggered and loads the good file</t>
        </is>
      </c>
      <c r="K50" s="15" t="inlineStr">
        <is>
          <t>Not Run</t>
        </is>
      </c>
      <c r="L50" s="15" t="inlineStr"/>
      <c r="M50" s="15" t="inlineStr"/>
      <c r="N50" s="15" t="inlineStr"/>
      <c r="O50" s="15" t="inlineStr"/>
      <c r="P50" s="15" t="inlineStr"/>
      <c r="Q50" s="15" t="inlineStr"/>
    </row>
    <row r="51">
      <c r="A51" s="12" t="inlineStr">
        <is>
          <t>FC-10</t>
        </is>
      </c>
      <c r="B51" s="13" t="inlineStr">
        <is>
          <t>File check</t>
        </is>
      </c>
      <c r="C51" s="13" t="inlineStr">
        <is>
          <t>Case</t>
        </is>
      </c>
      <c r="D51" s="13" t="inlineStr">
        <is>
          <t>File: File name in other case, record types lower case</t>
        </is>
      </c>
      <c r="E51" s="13" t="inlineStr">
        <is>
          <t>Put the file in the inbound folder, trigger FILE_CHECK. Nothing is loaded. FILE_CHECK has CHECK_MOVE_FAILED = true.</t>
        </is>
      </c>
      <c r="F51" s="14" t="inlineStr"/>
      <c r="G51" s="13" t="inlineStr">
        <is>
          <t>Airflow DAG OSSTD_CORE_CMS_COMPLIANCE_FILE_CHECK
Trigger DAG w/ config:
{"project": "CMSUNIV"}</t>
        </is>
      </c>
      <c r="H51" s="13" t="inlineStr">
        <is>
          <t>1. Check the precondition
2. Prepare the input: File: File name in other case, record types lower case
3. Run the job
4. Run the verification SQL (replace &lt;batch&gt;, &lt;table&gt;)
5. Compare with the expected result and record the outcome</t>
        </is>
      </c>
      <c r="I51" s="14" t="inlineStr">
        <is>
          <t>SELECT TOP 20 Event_ID, Event_Ty, Sevrty, Btch_ID, Src_ID, Event_Txt, Notified_Ind
FROM HSABC_DEV.CMS_ComplianceExceptionsAudit ORDER BY Event_ID DESC;</t>
        </is>
      </c>
      <c r="J51" s="13" t="inlineStr">
        <is>
          <t>Passes (nothing is case sensitive)</t>
        </is>
      </c>
      <c r="K51" s="15" t="inlineStr">
        <is>
          <t>Not Run</t>
        </is>
      </c>
      <c r="L51" s="15" t="inlineStr"/>
      <c r="M51" s="15" t="inlineStr"/>
      <c r="N51" s="15" t="inlineStr"/>
      <c r="O51" s="15" t="inlineStr"/>
      <c r="P51" s="15" t="inlineStr"/>
      <c r="Q51" s="15" t="inlineStr"/>
    </row>
    <row r="52">
      <c r="A52" s="12" t="inlineStr">
        <is>
          <t>FL-01</t>
        </is>
      </c>
      <c r="B52" s="13" t="inlineStr">
        <is>
          <t>File load - staging and core</t>
        </is>
      </c>
      <c r="C52" s="13" t="inlineStr">
        <is>
          <t>Good file</t>
        </is>
      </c>
      <c r="D52" s="13" t="inlineStr">
        <is>
          <t>GOOD for an open DLY batch</t>
        </is>
      </c>
      <c r="E52" s="13" t="inlineStr">
        <is>
          <t>Trigger FILE_LOAD. Check Q4 (load), Q6 (staging), Q7 (core), Q3 (timeline), file location on the NAS, control report.</t>
        </is>
      </c>
      <c r="F52" s="14" t="inlineStr"/>
      <c r="G52" s="13" t="inlineStr">
        <is>
          <t>Airflow DAG OSSTD_CORE_CMS_COMPLIANCE_FILE_LOAD
Trigger DAG w/ config:
{"project": "CMSUNIV"}</t>
        </is>
      </c>
      <c r="H52" s="13" t="inlineStr">
        <is>
          <t>1. Check the precondition
2. Prepare the input: GOOD for an open DLY batch
3. Run the job
4. Run the verification SQL (replace &lt;batch&gt;, &lt;table&gt;)
5. Compare with the expected result and record the outcome</t>
        </is>
      </c>
      <c r="I52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52" s="13" t="inlineStr">
        <is>
          <t>Load FILE_LOADED, Stg_Rcd_Cnt = data rows; batch SOURCE_DATA_READY / NEW_FILE; core rows = data rows; file in Archive/; control report line ACCEPTED; timeline FILE_RECEIVED, FILE_LOADED</t>
        </is>
      </c>
      <c r="K52" s="15" t="inlineStr">
        <is>
          <t>Not Run</t>
        </is>
      </c>
      <c r="L52" s="15" t="inlineStr"/>
      <c r="M52" s="15" t="inlineStr"/>
      <c r="N52" s="15" t="inlineStr"/>
      <c r="O52" s="15" t="inlineStr"/>
      <c r="P52" s="15" t="inlineStr"/>
      <c r="Q52" s="15" t="inlineStr"/>
    </row>
    <row r="53">
      <c r="A53" s="12" t="inlineStr">
        <is>
          <t>FL-02</t>
        </is>
      </c>
      <c r="B53" s="13" t="inlineStr">
        <is>
          <t>File load - staging and core</t>
        </is>
      </c>
      <c r="C53" s="13" t="inlineStr">
        <is>
          <t>Derived columns</t>
        </is>
      </c>
      <c r="D53" s="13" t="inlineStr">
        <is>
          <t>FL-01</t>
        </is>
      </c>
      <c r="E53" s="13" t="inlineStr">
        <is>
          <t>Trigger FILE_LOAD. Check Q4 (load), Q6 (staging), Q7 (core), Q3 (timeline), file location on the NAS, control report.</t>
        </is>
      </c>
      <c r="F53" s="14" t="inlineStr"/>
      <c r="G53" s="13" t="inlineStr">
        <is>
          <t>Airflow DAG OSSTD_CORE_CMS_COMPLIANCE_FILE_LOAD
Trigger DAG w/ config:
{"project": "CMSUNIV"}</t>
        </is>
      </c>
      <c r="H53" s="13" t="inlineStr">
        <is>
          <t>1. Check the precondition
2. Prepare the input: FL-01
3. Run the job
4. Run the verification SQL (replace &lt;batch&gt;, &lt;table&gt;)
5. Compare with the expected result and record the outcome</t>
        </is>
      </c>
      <c r="I53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53" s="13" t="inlineStr">
        <is>
          <t>Staging / core: Btch_ID, Run_Ty = DLY, Universe_Vrsn = 2200, Src_Data_Key = source, FileName, AuditDataID = Load_ID, StagingCreateDate = load date, Load_Dtts = load time, row ID continuing from the highest</t>
        </is>
      </c>
      <c r="K53" s="15" t="inlineStr">
        <is>
          <t>Not Run</t>
        </is>
      </c>
      <c r="L53" s="15" t="inlineStr"/>
      <c r="M53" s="15" t="inlineStr"/>
      <c r="N53" s="15" t="inlineStr"/>
      <c r="O53" s="15" t="inlineStr"/>
      <c r="P53" s="15" t="inlineStr"/>
      <c r="Q53" s="15" t="inlineStr"/>
    </row>
    <row r="54">
      <c r="A54" s="12" t="inlineStr">
        <is>
          <t>FL-03</t>
        </is>
      </c>
      <c r="B54" s="13" t="inlineStr">
        <is>
          <t>File load - staging and core</t>
        </is>
      </c>
      <c r="C54" s="13" t="inlineStr">
        <is>
          <t>Type conversion to core</t>
        </is>
      </c>
      <c r="D54" s="13" t="inlineStr">
        <is>
          <t>Core column TIMESTAMP(0) / DATE / DECIMAL, staging text</t>
        </is>
      </c>
      <c r="E54" s="13" t="inlineStr">
        <is>
          <t>Trigger FILE_LOAD. Check Q4 (load), Q6 (staging), Q7 (core), Q3 (timeline), file location on the NAS, control report.</t>
        </is>
      </c>
      <c r="F54" s="14" t="inlineStr"/>
      <c r="G54" s="13" t="inlineStr">
        <is>
          <t>Airflow DAG OSSTD_CORE_CMS_COMPLIANCE_FILE_LOAD
Trigger DAG w/ config:
{"project": "CMSUNIV"}</t>
        </is>
      </c>
      <c r="H54" s="13" t="inlineStr">
        <is>
          <t>1. Check the precondition
2. Prepare the input: Core column TIMESTAMP(0) / DATE / DECIMAL, staging text
3. Run the job
4. Run the verification SQL (replace &lt;batch&gt;, &lt;table&gt;)
5. Compare with the expected result and record the outcome</t>
        </is>
      </c>
      <c r="I54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54" s="13" t="inlineStr">
        <is>
          <t>Core values typed; StagingCreateDate in a TIMESTAMP column = YYYY-MM-DD 00:00:00; empty text → NULL</t>
        </is>
      </c>
      <c r="K54" s="15" t="inlineStr">
        <is>
          <t>Not Run</t>
        </is>
      </c>
      <c r="L54" s="15" t="inlineStr"/>
      <c r="M54" s="15" t="inlineStr"/>
      <c r="N54" s="15" t="inlineStr"/>
      <c r="O54" s="15" t="inlineStr"/>
      <c r="P54" s="15" t="inlineStr"/>
      <c r="Q54" s="15" t="inlineStr"/>
    </row>
    <row r="55">
      <c r="A55" s="12" t="inlineStr">
        <is>
          <t>FL-04</t>
        </is>
      </c>
      <c r="B55" s="13" t="inlineStr">
        <is>
          <t>File load - staging and core</t>
        </is>
      </c>
      <c r="C55" s="13" t="inlineStr">
        <is>
          <t>Bad type</t>
        </is>
      </c>
      <c r="D55" s="13" t="inlineStr">
        <is>
          <t>BAD_TYPE</t>
        </is>
      </c>
      <c r="E55" s="13" t="inlineStr">
        <is>
          <t>Trigger FILE_LOAD. Check Q4 (load), Q6 (staging), Q7 (core), Q3 (timeline), file location on the NAS, control report.</t>
        </is>
      </c>
      <c r="F55" s="14" t="inlineStr"/>
      <c r="G55" s="13" t="inlineStr">
        <is>
          <t>Airflow DAG OSSTD_CORE_CMS_COMPLIANCE_FILE_LOAD
Trigger DAG w/ config:
{"project": "CMSUNIV"}</t>
        </is>
      </c>
      <c r="H55" s="13" t="inlineStr">
        <is>
          <t>1. Check the precondition
2. Prepare the input: BAD_TYPE
3. Run the job
4. Run the verification SQL (replace &lt;batch&gt;, &lt;table&gt;)
5. Compare with the expected result and record the outcome</t>
        </is>
      </c>
      <c r="I55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55" s="13" t="inlineStr">
        <is>
          <t>REJECTED CORE_TYPE_MISMATCH naming the column and type (no value shown); staged rows removed; core untouched; file in Error/; task fails, alert</t>
        </is>
      </c>
      <c r="K55" s="15" t="inlineStr">
        <is>
          <t>Not Run</t>
        </is>
      </c>
      <c r="L55" s="15" t="inlineStr"/>
      <c r="M55" s="15" t="inlineStr"/>
      <c r="N55" s="15" t="inlineStr"/>
      <c r="O55" s="15" t="inlineStr"/>
      <c r="P55" s="15" t="inlineStr"/>
      <c r="Q55" s="15" t="inlineStr"/>
    </row>
    <row r="56">
      <c r="A56" s="12" t="inlineStr">
        <is>
          <t>FL-05</t>
        </is>
      </c>
      <c r="B56" s="13" t="inlineStr">
        <is>
          <t>File load - staging and core</t>
        </is>
      </c>
      <c r="C56" s="13" t="inlineStr">
        <is>
          <t>NOT NULL gap in core</t>
        </is>
      </c>
      <c r="D56" s="13" t="inlineStr">
        <is>
          <t>Core NOT NULL column with no staging column</t>
        </is>
      </c>
      <c r="E56" s="13" t="inlineStr">
        <is>
          <t>Trigger FILE_LOAD. Check Q4 (load), Q6 (staging), Q7 (core), Q3 (timeline), file location on the NAS, control report.</t>
        </is>
      </c>
      <c r="F56" s="14" t="inlineStr"/>
      <c r="G56" s="13" t="inlineStr">
        <is>
          <t>Airflow DAG OSSTD_CORE_CMS_COMPLIANCE_FILE_LOAD
Trigger DAG w/ config:
{"project": "CMSUNIV"}</t>
        </is>
      </c>
      <c r="H56" s="13" t="inlineStr">
        <is>
          <t>1. Check the precondition
2. Prepare the input: Core NOT NULL column with no staging column
3. Run the job
4. Run the verification SQL (replace &lt;batch&gt;, &lt;table&gt;)
5. Compare with the expected result and record the outcome</t>
        </is>
      </c>
      <c r="I56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56" s="13" t="inlineStr">
        <is>
          <t>REJECTED CORE_TYPE_MISMATCH "core column X is NOT NULL but gets no value"</t>
        </is>
      </c>
      <c r="K56" s="15" t="inlineStr">
        <is>
          <t>Not Run</t>
        </is>
      </c>
      <c r="L56" s="15" t="inlineStr"/>
      <c r="M56" s="15" t="inlineStr"/>
      <c r="N56" s="15" t="inlineStr"/>
      <c r="O56" s="15" t="inlineStr"/>
      <c r="P56" s="15" t="inlineStr"/>
      <c r="Q56" s="15" t="inlineStr"/>
    </row>
    <row r="57">
      <c r="A57" s="12" t="inlineStr">
        <is>
          <t>FL-06</t>
        </is>
      </c>
      <c r="B57" s="13" t="inlineStr">
        <is>
          <t>File load - staging and core</t>
        </is>
      </c>
      <c r="C57" s="13" t="inlineStr">
        <is>
          <t>Names differ, same order</t>
        </is>
      </c>
      <c r="D57" s="13" t="inlineStr">
        <is>
          <t>SNPCC1-style staging Member… / core Enrollee…</t>
        </is>
      </c>
      <c r="E57" s="13" t="inlineStr">
        <is>
          <t>Trigger FILE_LOAD. Check Q4 (load), Q6 (staging), Q7 (core), Q3 (timeline), file location on the NAS, control report.</t>
        </is>
      </c>
      <c r="F57" s="14" t="inlineStr"/>
      <c r="G57" s="13" t="inlineStr">
        <is>
          <t>Airflow DAG OSSTD_CORE_CMS_COMPLIANCE_FILE_LOAD
Trigger DAG w/ config:
{"project": "CMSUNIV"}</t>
        </is>
      </c>
      <c r="H57" s="13" t="inlineStr">
        <is>
          <t>1. Check the precondition
2. Prepare the input: SNPCC1-style staging Member… / core Enrollee…
3. Run the job
4. Run the verification SQL (replace &lt;batch&gt;, &lt;table&gt;)
5. Compare with the expected result and record the outcome</t>
        </is>
      </c>
      <c r="I57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57" s="13" t="inlineStr">
        <is>
          <t>Core filled by position; log shows the pairs</t>
        </is>
      </c>
      <c r="K57" s="15" t="inlineStr">
        <is>
          <t>Not Run</t>
        </is>
      </c>
      <c r="L57" s="15" t="inlineStr"/>
      <c r="M57" s="15" t="inlineStr"/>
      <c r="N57" s="15" t="inlineStr"/>
      <c r="O57" s="15" t="inlineStr"/>
      <c r="P57" s="15" t="inlineStr"/>
      <c r="Q57" s="15" t="inlineStr"/>
    </row>
    <row r="58">
      <c r="A58" s="12" t="inlineStr">
        <is>
          <t>FL-07</t>
        </is>
      </c>
      <c r="B58" s="13" t="inlineStr">
        <is>
          <t>File load - staging and core</t>
        </is>
      </c>
      <c r="C58" s="13" t="inlineStr">
        <is>
          <t>Empty file</t>
        </is>
      </c>
      <c r="D58" s="13" t="inlineStr">
        <is>
          <t>EMPTY</t>
        </is>
      </c>
      <c r="E58" s="13" t="inlineStr">
        <is>
          <t>Trigger FILE_LOAD. Check Q4 (load), Q6 (staging), Q7 (core), Q3 (timeline), file location on the NAS, control report.</t>
        </is>
      </c>
      <c r="F58" s="14" t="inlineStr"/>
      <c r="G58" s="13" t="inlineStr">
        <is>
          <t>Airflow DAG OSSTD_CORE_CMS_COMPLIANCE_FILE_LOAD
Trigger DAG w/ config:
{"project": "CMSUNIV"}</t>
        </is>
      </c>
      <c r="H58" s="13" t="inlineStr">
        <is>
          <t>1. Check the precondition
2. Prepare the input: EMPTY
3. Run the job
4. Run the verification SQL (replace &lt;batch&gt;, &lt;table&gt;)
5. Compare with the expected result and record the outcome</t>
        </is>
      </c>
      <c r="I58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58" s="13" t="inlineStr">
        <is>
          <t>Load FILE_LOADED, Stg_Rcd_Cnt = 0; batch SOURCE_DATA_READY_NO_DATA / NO_DATA; file archived</t>
        </is>
      </c>
      <c r="K58" s="15" t="inlineStr">
        <is>
          <t>Not Run</t>
        </is>
      </c>
      <c r="L58" s="15" t="inlineStr"/>
      <c r="M58" s="15" t="inlineStr"/>
      <c r="N58" s="15" t="inlineStr"/>
      <c r="O58" s="15" t="inlineStr"/>
      <c r="P58" s="15" t="inlineStr"/>
      <c r="Q58" s="15" t="inlineStr"/>
    </row>
    <row r="59">
      <c r="A59" s="12" t="inlineStr">
        <is>
          <t>FL-08</t>
        </is>
      </c>
      <c r="B59" s="13" t="inlineStr">
        <is>
          <t>File load - staging and core</t>
        </is>
      </c>
      <c r="C59" s="13" t="inlineStr">
        <is>
          <t>Replace before close</t>
        </is>
      </c>
      <c r="D59" s="13" t="inlineStr">
        <is>
          <t>GOOD again (new timestamp) for the same batch / source</t>
        </is>
      </c>
      <c r="E59" s="13" t="inlineStr">
        <is>
          <t>Trigger FILE_LOAD. Check Q4 (load), Q6 (staging), Q7 (core), Q3 (timeline), file location on the NAS, control report.</t>
        </is>
      </c>
      <c r="F59" s="14" t="inlineStr"/>
      <c r="G59" s="13" t="inlineStr">
        <is>
          <t>Airflow DAG OSSTD_CORE_CMS_COMPLIANCE_FILE_LOAD
Trigger DAG w/ config:
{"project": "CMSUNIV"}</t>
        </is>
      </c>
      <c r="H59" s="13" t="inlineStr">
        <is>
          <t>1. Check the precondition
2. Prepare the input: GOOD again (new timestamp) for the same batch / source
3. Run the job
4. Run the verification SQL (replace &lt;batch&gt;, &lt;table&gt;)
5. Compare with the expected result and record the outcome</t>
        </is>
      </c>
      <c r="I59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59" s="13" t="inlineStr">
        <is>
          <t>New load FILE_LOADED; earlier load RELOADED; core holds only the new rows for that source; other sources untouched; FILE_REPLACED_BEFORE_CLOSE</t>
        </is>
      </c>
      <c r="K59" s="15" t="inlineStr">
        <is>
          <t>Not Run</t>
        </is>
      </c>
      <c r="L59" s="15" t="inlineStr"/>
      <c r="M59" s="15" t="inlineStr"/>
      <c r="N59" s="15" t="inlineStr"/>
      <c r="O59" s="15" t="inlineStr"/>
      <c r="P59" s="15" t="inlineStr"/>
      <c r="Q59" s="15" t="inlineStr"/>
    </row>
    <row r="60">
      <c r="A60" s="12" t="inlineStr">
        <is>
          <t>FL-09</t>
        </is>
      </c>
      <c r="B60" s="13" t="inlineStr">
        <is>
          <t>File load - staging and core</t>
        </is>
      </c>
      <c r="C60" s="13" t="inlineStr">
        <is>
          <t>Two sources, one batch</t>
        </is>
      </c>
      <c r="D60" s="13" t="inlineStr">
        <is>
          <t>Files of sources 51 and 140 for the same DLY batch</t>
        </is>
      </c>
      <c r="E60" s="13" t="inlineStr">
        <is>
          <t>Trigger FILE_LOAD. Check Q4 (load), Q6 (staging), Q7 (core), Q3 (timeline), file location on the NAS, control report.</t>
        </is>
      </c>
      <c r="F60" s="14" t="inlineStr"/>
      <c r="G60" s="13" t="inlineStr">
        <is>
          <t>Airflow DAG OSSTD_CORE_CMS_COMPLIANCE_FILE_LOAD
Trigger DAG w/ config:
{"project": "CMSUNIV"}</t>
        </is>
      </c>
      <c r="H60" s="13" t="inlineStr">
        <is>
          <t>1. Check the precondition
2. Prepare the input: Files of sources 51 and 140 for the same DLY batch
3. Run the job
4. Run the verification SQL (replace &lt;batch&gt;, &lt;table&gt;)
5. Compare with the expected result and record the outcome</t>
        </is>
      </c>
      <c r="I60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60" s="13" t="inlineStr">
        <is>
          <t>Both in core under one Btch_ID; each source's rows separate</t>
        </is>
      </c>
      <c r="K60" s="15" t="inlineStr">
        <is>
          <t>Not Run</t>
        </is>
      </c>
      <c r="L60" s="15" t="inlineStr"/>
      <c r="M60" s="15" t="inlineStr"/>
      <c r="N60" s="15" t="inlineStr"/>
      <c r="O60" s="15" t="inlineStr"/>
      <c r="P60" s="15" t="inlineStr"/>
      <c r="Q60" s="15" t="inlineStr"/>
    </row>
    <row r="61">
      <c r="A61" s="12" t="inlineStr">
        <is>
          <t>FL-10</t>
        </is>
      </c>
      <c r="B61" s="13" t="inlineStr">
        <is>
          <t>File load - staging and core</t>
        </is>
      </c>
      <c r="C61" s="13" t="inlineStr">
        <is>
          <t>Staging per source and run type</t>
        </is>
      </c>
      <c r="D61" s="13" t="inlineStr">
        <is>
          <t>FL-09, then a pull for the same table / run type</t>
        </is>
      </c>
      <c r="E61" s="13" t="inlineStr">
        <is>
          <t>Trigger FILE_LOAD. Check Q4 (load), Q6 (staging), Q7 (core), Q3 (timeline), file location on the NAS, control report.</t>
        </is>
      </c>
      <c r="F61" s="14" t="inlineStr"/>
      <c r="G61" s="13" t="inlineStr">
        <is>
          <t>Airflow DAG OSSTD_CORE_CMS_COMPLIANCE_FILE_LOAD
Trigger DAG w/ config:
{"project": "CMSUNIV"}</t>
        </is>
      </c>
      <c r="H61" s="13" t="inlineStr">
        <is>
          <t>1. Check the precondition
2. Prepare the input: FL-09, then a pull for the same table / run type
3. Run the job
4. Run the verification SQL (replace &lt;batch&gt;, &lt;table&gt;)
5. Compare with the expected result and record the outcome</t>
        </is>
      </c>
      <c r="I61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61" s="13" t="inlineStr">
        <is>
          <t>Staging keeps each source's rows (Q6); the next file of 51 replaces only 51's DLY rows</t>
        </is>
      </c>
      <c r="K61" s="15" t="inlineStr">
        <is>
          <t>Not Run</t>
        </is>
      </c>
      <c r="L61" s="15" t="inlineStr"/>
      <c r="M61" s="15" t="inlineStr"/>
      <c r="N61" s="15" t="inlineStr"/>
      <c r="O61" s="15" t="inlineStr"/>
      <c r="P61" s="15" t="inlineStr"/>
      <c r="Q61" s="15" t="inlineStr"/>
    </row>
    <row r="62">
      <c r="A62" s="12" t="inlineStr">
        <is>
          <t>FL-11</t>
        </is>
      </c>
      <c r="B62" s="13" t="inlineStr">
        <is>
          <t>File load - staging and core</t>
        </is>
      </c>
      <c r="C62" s="13" t="inlineStr">
        <is>
          <t>Same content other batch</t>
        </is>
      </c>
      <c r="D62" s="13" t="inlineStr">
        <is>
          <t>DUP renamed to another batch's dates</t>
        </is>
      </c>
      <c r="E62" s="13" t="inlineStr">
        <is>
          <t>Trigger FILE_LOAD. Check Q4 (load), Q6 (staging), Q7 (core), Q3 (timeline), file location on the NAS, control report.</t>
        </is>
      </c>
      <c r="F62" s="14" t="inlineStr"/>
      <c r="G62" s="13" t="inlineStr">
        <is>
          <t>Airflow DAG OSSTD_CORE_CMS_COMPLIANCE_FILE_LOAD
Trigger DAG w/ config:
{"project": "CMSUNIV"}</t>
        </is>
      </c>
      <c r="H62" s="13" t="inlineStr">
        <is>
          <t>1. Check the precondition
2. Prepare the input: DUP renamed to another batch's dates
3. Run the job
4. Run the verification SQL (replace &lt;batch&gt;, &lt;table&gt;)
5. Compare with the expected result and record the outcome</t>
        </is>
      </c>
      <c r="I62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62" s="13" t="inlineStr">
        <is>
          <t>Loaded; FILE_SAME_CONTENT_OTHER_BATCH alert</t>
        </is>
      </c>
      <c r="K62" s="15" t="inlineStr">
        <is>
          <t>Not Run</t>
        </is>
      </c>
      <c r="L62" s="15" t="inlineStr"/>
      <c r="M62" s="15" t="inlineStr"/>
      <c r="N62" s="15" t="inlineStr"/>
      <c r="O62" s="15" t="inlineStr"/>
      <c r="P62" s="15" t="inlineStr"/>
      <c r="Q62" s="15" t="inlineStr"/>
    </row>
    <row r="63">
      <c r="A63" s="12" t="inlineStr">
        <is>
          <t>FL-12</t>
        </is>
      </c>
      <c r="B63" s="13" t="inlineStr">
        <is>
          <t>File load - staging and core</t>
        </is>
      </c>
      <c r="C63" s="13" t="inlineStr">
        <is>
          <t>Batch closed</t>
        </is>
      </c>
      <c r="D63" s="13" t="inlineStr">
        <is>
          <t>GOOD for a closed batch</t>
        </is>
      </c>
      <c r="E63" s="13" t="inlineStr">
        <is>
          <t>Trigger FILE_LOAD. Check Q4 (load), Q6 (staging), Q7 (core), Q3 (timeline), file location on the NAS, control report.</t>
        </is>
      </c>
      <c r="F63" s="14" t="inlineStr"/>
      <c r="G63" s="13" t="inlineStr">
        <is>
          <t>Airflow DAG OSSTD_CORE_CMS_COMPLIANCE_FILE_LOAD
Trigger DAG w/ config:
{"project": "CMSUNIV"}</t>
        </is>
      </c>
      <c r="H63" s="13" t="inlineStr">
        <is>
          <t>1. Check the precondition
2. Prepare the input: GOOD for a closed batch
3. Run the job
4. Run the verification SQL (replace &lt;batch&gt;, &lt;table&gt;)
5. Compare with the expected result and record the outcome</t>
        </is>
      </c>
      <c r="I63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63" s="13" t="inlineStr">
        <is>
          <t>REJECTED FILE_REJECTED_BATCH_CLOSED; file in Error/</t>
        </is>
      </c>
      <c r="K63" s="15" t="inlineStr">
        <is>
          <t>Not Run</t>
        </is>
      </c>
      <c r="L63" s="15" t="inlineStr"/>
      <c r="M63" s="15" t="inlineStr"/>
      <c r="N63" s="15" t="inlineStr"/>
      <c r="O63" s="15" t="inlineStr"/>
      <c r="P63" s="15" t="inlineStr"/>
      <c r="Q63" s="15" t="inlineStr"/>
    </row>
    <row r="64">
      <c r="A64" s="12" t="inlineStr">
        <is>
          <t>FL-13</t>
        </is>
      </c>
      <c r="B64" s="13" t="inlineStr">
        <is>
          <t>File load - staging and core</t>
        </is>
      </c>
      <c r="C64" s="13" t="inlineStr">
        <is>
          <t>Rejected by check</t>
        </is>
      </c>
      <c r="D64" s="13" t="inlineStr">
        <is>
          <t>BAD_VALUE with CHECK_ON_LOAD or a staging type error</t>
        </is>
      </c>
      <c r="E64" s="13" t="inlineStr">
        <is>
          <t>Trigger FILE_LOAD. Check Q4 (load), Q6 (staging), Q7 (core), Q3 (timeline), file location on the NAS, control report.</t>
        </is>
      </c>
      <c r="F64" s="14" t="inlineStr"/>
      <c r="G64" s="13" t="inlineStr">
        <is>
          <t>Airflow DAG OSSTD_CORE_CMS_COMPLIANCE_FILE_LOAD
Trigger DAG w/ config:
{"project": "CMSUNIV"}</t>
        </is>
      </c>
      <c r="H64" s="13" t="inlineStr">
        <is>
          <t>1. Check the precondition
2. Prepare the input: BAD_VALUE with CHECK_ON_LOAD or a staging type error
3. Run the job
4. Run the verification SQL (replace &lt;batch&gt;, &lt;table&gt;)
5. Compare with the expected result and record the outcome</t>
        </is>
      </c>
      <c r="I64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64" s="13" t="inlineStr">
        <is>
          <t>REJECTED (FILE_CONTENT_CHECK_FAILED / FILE_PARSE_ERROR with line); error log holds the record</t>
        </is>
      </c>
      <c r="K64" s="15" t="inlineStr">
        <is>
          <t>Not Run</t>
        </is>
      </c>
      <c r="L64" s="15" t="inlineStr"/>
      <c r="M64" s="15" t="inlineStr"/>
      <c r="N64" s="15" t="inlineStr"/>
      <c r="O64" s="15" t="inlineStr"/>
      <c r="P64" s="15" t="inlineStr"/>
      <c r="Q64" s="15" t="inlineStr"/>
    </row>
    <row r="65">
      <c r="A65" s="12" t="inlineStr">
        <is>
          <t>FL-14</t>
        </is>
      </c>
      <c r="B65" s="13" t="inlineStr">
        <is>
          <t>File load - staging and core</t>
        </is>
      </c>
      <c r="C65" s="13" t="inlineStr">
        <is>
          <t>Staging table busy</t>
        </is>
      </c>
      <c r="D65" s="13" t="inlineStr">
        <is>
          <t>Start SOURCE_LOAD and FILE_LOAD for the same staging table together</t>
        </is>
      </c>
      <c r="E65" s="13" t="inlineStr">
        <is>
          <t>Trigger FILE_LOAD. Check Q4 (load), Q6 (staging), Q7 (core), Q3 (timeline), file location on the NAS, control report.</t>
        </is>
      </c>
      <c r="F65" s="14" t="inlineStr"/>
      <c r="G65" s="13" t="inlineStr">
        <is>
          <t>Airflow DAG OSSTD_CORE_CMS_COMPLIANCE_SOURCE_LOAD
Trigger DAG w/ config:
{"project": "CMSUNIV"}
and at the same time
Airflow DAG OSSTD_CORE_CMS_COMPLIANCE_FILE_LOAD
Trigger DAG w/ config:
{"project": "CMSUNIV"}</t>
        </is>
      </c>
      <c r="H65" s="13" t="inlineStr">
        <is>
          <t>1. Check the precondition
2. Prepare the input: Start SOURCE_LOAD and FILE_LOAD for the same staging table together
3. Run the job
4. Run the verification SQL (replace &lt;batch&gt;, &lt;table&gt;)
5. Compare with the expected result and record the outcome</t>
        </is>
      </c>
      <c r="I65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65" s="13" t="inlineStr">
        <is>
          <t>One waits; if more than 30 s: LOAD_INCOMPLETE (Reject_Rsn_Cd = STAGING_TABLE_BUSY), loaded by the next run; no error</t>
        </is>
      </c>
      <c r="K65" s="15" t="inlineStr">
        <is>
          <t>Not Run</t>
        </is>
      </c>
      <c r="L65" s="15" t="inlineStr"/>
      <c r="M65" s="15" t="inlineStr"/>
      <c r="N65" s="15" t="inlineStr"/>
      <c r="O65" s="15" t="inlineStr"/>
      <c r="P65" s="15" t="inlineStr"/>
      <c r="Q65" s="15" t="inlineStr"/>
    </row>
    <row r="66">
      <c r="A66" s="12" t="inlineStr">
        <is>
          <t>FL-15</t>
        </is>
      </c>
      <c r="B66" s="13" t="inlineStr">
        <is>
          <t>File load - staging and core</t>
        </is>
      </c>
      <c r="C66" s="13" t="inlineStr">
        <is>
          <t>Stale staging lock</t>
        </is>
      </c>
      <c r="D66" s="13" t="inlineStr">
        <is>
          <t>Leave a lock row older than 30 min (Q10)</t>
        </is>
      </c>
      <c r="E66" s="13" t="inlineStr">
        <is>
          <t>Trigger FILE_LOAD. Check Q4 (load), Q6 (staging), Q7 (core), Q3 (timeline), file location on the NAS, control report.</t>
        </is>
      </c>
      <c r="F66" s="14" t="inlineStr">
        <is>
          <t>INSERT INTO HSABC_DEV.ComplianceLock (Lock_Key, Owner_ID, Acquired_Dtts, Expires_Dtts)
VALUES ('BTCH:STAGE CMSUNIV_FILELAND_DEV_T.ODAG_DE_TABLE3_2022', 'test', CURRENT_TIMESTAMP - INTERVAL '40' MINUTE, CURRENT_TIMESTAMP + INTERVAL '1' HOUR);
-- after: release-lock --key &lt;that key&gt;</t>
        </is>
      </c>
      <c r="G66" s="13" t="inlineStr">
        <is>
          <t>Airflow DAG OSSTD_CORE_CMS_COMPLIANCE_FILE_LOAD
Trigger DAG w/ config:
{"project": "CMSUNIV"}</t>
        </is>
      </c>
      <c r="H66" s="13" t="inlineStr">
        <is>
          <t>1. Check the precondition and run the setup SQL
2. Prepare the input: Leave a lock row older than 30 min (Q10)
3. Run the job
4. Run the verification SQL (replace &lt;batch&gt;, &lt;table&gt;)
5. Compare with the expected result and record the outcome</t>
        </is>
      </c>
      <c r="I66" s="14" t="inlineStr">
        <is>
          <t>SELECT Lock_Key, Owner_ID, Acquired_Dtts, Expires_Dtts FROM HSABC_DEV.ComplianceLock ORDER BY Acquired_Dtts;
SELECT TOP 20 Event_ID, Event_Ty, Sevrty, Btch_ID, Src_ID, Event_Txt, Notified_Ind
FROM HSABC_DEV.CMS_ComplianceExceptionsAudit ORDER BY Event_ID DESC;</t>
        </is>
      </c>
      <c r="J66" s="13" t="inlineStr">
        <is>
          <t>STAGING_LOCK_STALE alert with the release-lock command; files wait</t>
        </is>
      </c>
      <c r="K66" s="15" t="inlineStr">
        <is>
          <t>Not Run</t>
        </is>
      </c>
      <c r="L66" s="15" t="inlineStr"/>
      <c r="M66" s="15" t="inlineStr"/>
      <c r="N66" s="15" t="inlineStr"/>
      <c r="O66" s="15" t="inlineStr"/>
      <c r="P66" s="15" t="inlineStr"/>
      <c r="Q66" s="15" t="inlineStr"/>
    </row>
    <row r="67">
      <c r="A67" s="12" t="inlineStr">
        <is>
          <t>FL-16</t>
        </is>
      </c>
      <c r="B67" s="13" t="inlineStr">
        <is>
          <t>File load - staging and core</t>
        </is>
      </c>
      <c r="C67" s="13" t="inlineStr">
        <is>
          <t>Move failure</t>
        </is>
      </c>
      <c r="D67" s="13" t="inlineStr">
        <is>
          <t>Remove delete rights on the inbound folder; load</t>
        </is>
      </c>
      <c r="E67" s="13" t="inlineStr">
        <is>
          <t>Trigger FILE_LOAD. Check Q4 (load), Q6 (staging), Q7 (core), Q3 (timeline), file location on the NAS, control report.</t>
        </is>
      </c>
      <c r="F67" s="14" t="inlineStr"/>
      <c r="G67" s="13" t="inlineStr">
        <is>
          <t>Airflow DAG OSSTD_CORE_CMS_COMPLIANCE_FILE_LOAD
Trigger DAG w/ config:
{"project": "CMSUNIV"}</t>
        </is>
      </c>
      <c r="H67" s="13" t="inlineStr">
        <is>
          <t>1. Check the precondition
2. Prepare the input: Remove delete rights on the inbound folder; load
3. Run the job
4. Run the verification SQL (replace &lt;batch&gt;, &lt;table&gt;)
5. Compare with the expected result and record the outcome</t>
        </is>
      </c>
      <c r="I67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67" s="13" t="inlineStr">
        <is>
          <t>Loaded once; FILE_MOVE_FAILED emailed once; next runs only retry the move (no second load)</t>
        </is>
      </c>
      <c r="K67" s="15" t="inlineStr">
        <is>
          <t>Not Run</t>
        </is>
      </c>
      <c r="L67" s="15" t="inlineStr"/>
      <c r="M67" s="15" t="inlineStr"/>
      <c r="N67" s="15" t="inlineStr"/>
      <c r="O67" s="15" t="inlineStr"/>
      <c r="P67" s="15" t="inlineStr"/>
      <c r="Q67" s="15" t="inlineStr"/>
    </row>
    <row r="68">
      <c r="A68" s="12" t="inlineStr">
        <is>
          <t>FL-17</t>
        </is>
      </c>
      <c r="B68" s="13" t="inlineStr">
        <is>
          <t>File load - staging and core</t>
        </is>
      </c>
      <c r="C68" s="13" t="inlineStr">
        <is>
          <t>System failure</t>
        </is>
      </c>
      <c r="D68" s="13" t="inlineStr">
        <is>
          <t>Stop Teradata access mid-run (or wrong password)</t>
        </is>
      </c>
      <c r="E68" s="13" t="inlineStr">
        <is>
          <t>Trigger FILE_LOAD. Check Q4 (load), Q6 (staging), Q7 (core), Q3 (timeline), file location on the NAS, control report.</t>
        </is>
      </c>
      <c r="F68" s="14" t="inlineStr"/>
      <c r="G68" s="13" t="inlineStr">
        <is>
          <t>Airflow DAG OSSTD_CORE_CMS_COMPLIANCE_FILE_LOAD
Trigger DAG w/ config:
{"project": "CMSUNIV"}</t>
        </is>
      </c>
      <c r="H68" s="13" t="inlineStr">
        <is>
          <t>1. Check the precondition
2. Prepare the input: Stop Teradata access mid-run (or wrong password)
3. Run the job
4. Run the verification SQL (replace &lt;batch&gt;, &lt;table&gt;)
5. Compare with the expected result and record the outcome</t>
        </is>
      </c>
      <c r="I68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68" s="13" t="inlineStr">
        <is>
          <t>PROCESS_FAILURE; task retried after 5 min; file stays; no partial core</t>
        </is>
      </c>
      <c r="K68" s="15" t="inlineStr">
        <is>
          <t>Not Run</t>
        </is>
      </c>
      <c r="L68" s="15" t="inlineStr"/>
      <c r="M68" s="15" t="inlineStr"/>
      <c r="N68" s="15" t="inlineStr"/>
      <c r="O68" s="15" t="inlineStr"/>
      <c r="P68" s="15" t="inlineStr"/>
      <c r="Q68" s="15" t="inlineStr"/>
    </row>
    <row r="69">
      <c r="A69" s="12" t="inlineStr">
        <is>
          <t>FL-18</t>
        </is>
      </c>
      <c r="B69" s="13" t="inlineStr">
        <is>
          <t>File load - staging and core</t>
        </is>
      </c>
      <c r="C69" s="13" t="inlineStr">
        <is>
          <t>Unsupported type</t>
        </is>
      </c>
      <c r="D69" s="13" t="inlineStr">
        <is>
          <t>.xlsx file</t>
        </is>
      </c>
      <c r="E69" s="13" t="inlineStr">
        <is>
          <t>Trigger FILE_LOAD. Check Q4 (load), Q6 (staging), Q7 (core), Q3 (timeline), file location on the NAS, control report.</t>
        </is>
      </c>
      <c r="F69" s="14" t="inlineStr"/>
      <c r="G69" s="13" t="inlineStr">
        <is>
          <t>Airflow DAG OSSTD_CORE_CMS_COMPLIANCE_FILE_LOAD
Trigger DAG w/ config:
{"project": "CMSUNIV"}</t>
        </is>
      </c>
      <c r="H69" s="13" t="inlineStr">
        <is>
          <t>1. Check the precondition
2. Prepare the input: .xlsx file
3. Run the job
4. Run the verification SQL (replace &lt;batch&gt;, &lt;table&gt;)
5. Compare with the expected result and record the outcome</t>
        </is>
      </c>
      <c r="I69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69" s="13" t="inlineStr">
        <is>
          <t>FILE_TYPE_NOT_SUPPORTED</t>
        </is>
      </c>
      <c r="K69" s="15" t="inlineStr">
        <is>
          <t>Not Run</t>
        </is>
      </c>
      <c r="L69" s="15" t="inlineStr"/>
      <c r="M69" s="15" t="inlineStr"/>
      <c r="N69" s="15" t="inlineStr"/>
      <c r="O69" s="15" t="inlineStr"/>
      <c r="P69" s="15" t="inlineStr"/>
      <c r="Q69" s="15" t="inlineStr"/>
    </row>
    <row r="70">
      <c r="A70" s="12" t="inlineStr">
        <is>
          <t>FL-19</t>
        </is>
      </c>
      <c r="B70" s="13" t="inlineStr">
        <is>
          <t>File load - staging and core</t>
        </is>
      </c>
      <c r="C70" s="13" t="inlineStr">
        <is>
          <t>Scope</t>
        </is>
      </c>
      <c r="D70" s="13" t="inlineStr">
        <is>
          <t>Run the job with the trigger config shown in Job to Execute</t>
        </is>
      </c>
      <c r="E70" s="13" t="inlineStr">
        <is>
          <t>Trigger FILE_LOAD. Check Q4 (load), Q6 (staging), Q7 (core), Q3 (timeline), file location on the NAS, control report.</t>
        </is>
      </c>
      <c r="F70" s="14" t="inlineStr"/>
      <c r="G70" s="13" t="inlineStr">
        <is>
          <t>Airflow DAG OSSTD_CORE_CMS_COMPLIANCE_FILE_LOAD
Trigger DAG w/ config:
{"project": "CMSUNIV", "table": "ODAG3"}</t>
        </is>
      </c>
      <c r="H70" s="13" t="inlineStr">
        <is>
          <t>1. Check the precondition
2. No input to prepare
3. Run the job
4. Run the verification SQL (replace &lt;batch&gt;, &lt;table&gt;)
5. Compare with the expected result and record the outcome</t>
        </is>
      </c>
      <c r="I70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70" s="13" t="inlineStr">
        <is>
          <t>Only ODAG3 files loaded</t>
        </is>
      </c>
      <c r="K70" s="15" t="inlineStr">
        <is>
          <t>Not Run</t>
        </is>
      </c>
      <c r="L70" s="15" t="inlineStr"/>
      <c r="M70" s="15" t="inlineStr"/>
      <c r="N70" s="15" t="inlineStr"/>
      <c r="O70" s="15" t="inlineStr"/>
      <c r="P70" s="15" t="inlineStr"/>
      <c r="Q70" s="15" t="inlineStr"/>
    </row>
    <row r="71">
      <c r="A71" s="12" t="inlineStr">
        <is>
          <t>FL-20</t>
        </is>
      </c>
      <c r="B71" s="13" t="inlineStr">
        <is>
          <t>File load - staging and core</t>
        </is>
      </c>
      <c r="C71" s="13" t="inlineStr">
        <is>
          <t>Archive by year</t>
        </is>
      </c>
      <c r="D71" s="13" t="inlineStr">
        <is>
          <t>"settings":{"ARCHIVE_BY_YEAR":true} in a trigger</t>
        </is>
      </c>
      <c r="E71" s="13" t="inlineStr">
        <is>
          <t>Trigger FILE_LOAD. Check Q4 (load), Q6 (staging), Q7 (core), Q3 (timeline), file location on the NAS, control report.</t>
        </is>
      </c>
      <c r="F71" s="14" t="inlineStr"/>
      <c r="G71" s="13" t="inlineStr">
        <is>
          <t>Airflow DAG OSSTD_CORE_CMS_COMPLIANCE_FILE_LOAD
Trigger DAG w/ config:
{"project": "CMSUNIV", "settings": {"ARCHIVE_BY_YEAR": true}}</t>
        </is>
      </c>
      <c r="H71" s="13" t="inlineStr">
        <is>
          <t>1. Check the precondition
2. Prepare the input: "settings":{"ARCHIVE_BY_YEAR":true} in a trigger
3. Run the job
4. Run the verification SQL (replace &lt;batch&gt;, &lt;table&gt;)
5. Compare with the expected result and record the outcome</t>
        </is>
      </c>
      <c r="I71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71" s="13" t="inlineStr">
        <is>
          <t>File in Archive/&lt;year&gt;/</t>
        </is>
      </c>
      <c r="K71" s="15" t="inlineStr">
        <is>
          <t>Not Run</t>
        </is>
      </c>
      <c r="L71" s="15" t="inlineStr"/>
      <c r="M71" s="15" t="inlineStr"/>
      <c r="N71" s="15" t="inlineStr"/>
      <c r="O71" s="15" t="inlineStr"/>
      <c r="P71" s="15" t="inlineStr"/>
      <c r="Q71" s="15" t="inlineStr"/>
    </row>
    <row r="72">
      <c r="A72" s="12" t="inlineStr">
        <is>
          <t>FL-21</t>
        </is>
      </c>
      <c r="B72" s="13" t="inlineStr">
        <is>
          <t>File load - staging and core</t>
        </is>
      </c>
      <c r="C72" s="13" t="inlineStr">
        <is>
          <t>One file from trigger</t>
        </is>
      </c>
      <c r="D72" s="13" t="inlineStr">
        <is>
          <t>Run the job with the trigger config shown in Job to Execute</t>
        </is>
      </c>
      <c r="E72" s="13" t="inlineStr">
        <is>
          <t>Trigger FILE_LOAD. Check Q4 (load), Q6 (staging), Q7 (core), Q3 (timeline), file location on the NAS, control report.</t>
        </is>
      </c>
      <c r="F72" s="14" t="inlineStr"/>
      <c r="G72" s="13" t="inlineStr">
        <is>
          <t>Airflow DAG OSSTD_CORE_CMS_COMPLIANCE_FILE_LOAD
Trigger DAG w/ config:
{"project": "CMSUNIV", "file": "&lt;file name&gt;"}</t>
        </is>
      </c>
      <c r="H72" s="13" t="inlineStr">
        <is>
          <t>1. Check the precondition
2. No input to prepare
3. Run the job
4. Run the verification SQL (replace &lt;batch&gt;, &lt;table&gt;)
5. Compare with the expected result and record the outcome</t>
        </is>
      </c>
      <c r="I72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72" s="13" t="inlineStr">
        <is>
          <t>Only that file</t>
        </is>
      </c>
      <c r="K72" s="15" t="inlineStr">
        <is>
          <t>Not Run</t>
        </is>
      </c>
      <c r="L72" s="15" t="inlineStr"/>
      <c r="M72" s="15" t="inlineStr"/>
      <c r="N72" s="15" t="inlineStr"/>
      <c r="O72" s="15" t="inlineStr"/>
      <c r="P72" s="15" t="inlineStr"/>
      <c r="Q72" s="15" t="inlineStr"/>
    </row>
    <row r="73">
      <c r="A73" s="12" t="inlineStr">
        <is>
          <t>FL-22</t>
        </is>
      </c>
      <c r="B73" s="13" t="inlineStr">
        <is>
          <t>File load - staging and core</t>
        </is>
      </c>
      <c r="C73" s="13" t="inlineStr">
        <is>
          <t>Chain</t>
        </is>
      </c>
      <c r="D73" s="13" t="inlineStr">
        <is>
          <t>FILE_LOAD succeeds</t>
        </is>
      </c>
      <c r="E73" s="13" t="inlineStr">
        <is>
          <t>Trigger FILE_LOAD. Check Q4 (load), Q6 (staging), Q7 (core), Q3 (timeline), file location on the NAS, control report.</t>
        </is>
      </c>
      <c r="F73" s="14" t="inlineStr"/>
      <c r="G73" s="13" t="inlineStr">
        <is>
          <t>Airflow DAG OSSTD_CORE_CMS_COMPLIANCE_FILE_LOAD
Trigger DAG w/ config:
{"project": "CMSUNIV"}</t>
        </is>
      </c>
      <c r="H73" s="13" t="inlineStr">
        <is>
          <t>1. Check the precondition
2. Prepare the input: FILE_LOAD succeeds
3. Run the job
4. Run the verification SQL (replace &lt;batch&gt;, &lt;table&gt;)
5. Compare with the expected result and record the outcome</t>
        </is>
      </c>
      <c r="I73" s="14" t="inlineStr">
        <is>
          <t>SELECT Load_ID, File_Path, Load_Stat, Reject_Rsn_Cd, Rules_Stat, Stg_Rcd_Cnt, Error_Txt, Updated_Dtts
FROM HSABC_DEV.ComplianceFileLoad WHERE Btch_ID = '&lt;batch&gt;' ORDER BY Load_ID DESC;
SELECT Btch_ID, Src_Data_Key, Run_Ty, AuditDataID, COUNT(*) AS Rows_
FROM CMSUNIV_FILELAND_DEV_T.&lt;staging table&gt; GROUP BY 1, 2, 3, 4 ORDER BY 1, 2;
SELECT Src_Data_Key, COUNT(*) AS Rows_, MIN(StagingCreateDate), MAX(Load_Dtts)
FROM CMSUNIV_CORE_DEV_T.&lt;core table&gt; WHERE 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73" s="13" t="inlineStr">
        <is>
          <t>OVERRIDE_DECISIONS and EXPORT_LOAD triggered; with a rejected file the task fails and they are not</t>
        </is>
      </c>
      <c r="K73" s="15" t="inlineStr">
        <is>
          <t>Not Run</t>
        </is>
      </c>
      <c r="L73" s="15" t="inlineStr"/>
      <c r="M73" s="15" t="inlineStr"/>
      <c r="N73" s="15" t="inlineStr"/>
      <c r="O73" s="15" t="inlineStr"/>
      <c r="P73" s="15" t="inlineStr"/>
      <c r="Q73" s="15" t="inlineStr"/>
    </row>
    <row r="74">
      <c r="A74" s="12" t="inlineStr">
        <is>
          <t>SL-01</t>
        </is>
      </c>
      <c r="B74" s="13" t="inlineStr">
        <is>
          <t>Internal sources</t>
        </is>
      </c>
      <c r="C74" s="13" t="inlineStr">
        <is>
          <t>Pull with rows</t>
        </is>
      </c>
      <c r="D74" s="13" t="inlineStr">
        <is>
          <t>Source rows exist for the batch</t>
        </is>
      </c>
      <c r="E74" s="13" t="inlineStr">
        <is>
          <t>Trigger SOURCE_LOAD ({"table_group": "SNPCC"} to limit). Check the SQL log lines, Q4, Q6, Q7.</t>
        </is>
      </c>
      <c r="F74" s="14" t="inlineStr"/>
      <c r="G74" s="13" t="inlineStr">
        <is>
          <t>Airflow DAG OSSTD_CORE_CMS_COMPLIANCE_SOURCE_LOAD
Trigger DAG w/ config:
{"project": "CMSUNIV", "table_group": "SNPCC"}</t>
        </is>
      </c>
      <c r="H74" s="13" t="inlineStr">
        <is>
          <t>1. Check the precondition
2. Prepare the input: Source rows exist for the batch
3. Run the job
4. Run the verification SQL (replace &lt;batch&gt;, &lt;table&gt;)
5. Compare with the expected result and record the outcome</t>
        </is>
      </c>
      <c r="I74" s="14" t="inlineStr">
        <is>
          <t>SELECT Load_ID, File_Path, Load_Stat, Reject_Rsn_Cd, Rules_Stat, Stg_Rcd_Cnt, Error_Txt, Updated_Dtts
FROM HSABC_DEV.ComplianceFileLoad WHERE Btch_ID = '&lt;batch&gt;' ORDER BY Load_ID DESC;
SELECT Src_Data_Key, COUNT(*) AS Rows_, MIN(StagingCreateDate), MAX(Load_Dtts)
FROM CMSUNIV_CORE_DEV_T.&lt;core table&gt; WHERE Btch_ID = '&lt;batch&gt;' GROUP BY 1;
SELECT Btch_ID, Src_ID, Req_Stat, Resolution_Ty, Batch_Close_Ind, Reuse_Btch_ID, Rpt_Start_Dt_Key, Rpt_End_Dt_Key
FROM HSABC_DEV.ComplianceRequestControl WHERE Btch_ID = '&lt;batch&gt;' ORDER BY Src_ID;</t>
        </is>
      </c>
      <c r="J74" s="13" t="inlineStr">
        <is>
          <t>Log: Src_Sql_Txt on SQL_SNPCC, SQL with ?, parameters, "with values" copy; FILE_LOADED; core rows; batch SOURCE_DATA_READY</t>
        </is>
      </c>
      <c r="K74" s="15" t="inlineStr">
        <is>
          <t>Not Run</t>
        </is>
      </c>
      <c r="L74" s="15" t="inlineStr"/>
      <c r="M74" s="15" t="inlineStr"/>
      <c r="N74" s="15" t="inlineStr"/>
      <c r="O74" s="15" t="inlineStr"/>
      <c r="P74" s="15" t="inlineStr"/>
      <c r="Q74" s="15" t="inlineStr"/>
    </row>
    <row r="75">
      <c r="A75" s="12" t="inlineStr">
        <is>
          <t>SL-02</t>
        </is>
      </c>
      <c r="B75" s="13" t="inlineStr">
        <is>
          <t>Internal sources</t>
        </is>
      </c>
      <c r="C75" s="13" t="inlineStr">
        <is>
          <t>Driver chosen</t>
        </is>
      </c>
      <c r="D75" s="13" t="inlineStr">
        <is>
          <t>No driver in the Connection Extra</t>
        </is>
      </c>
      <c r="E75" s="13" t="inlineStr">
        <is>
          <t>Trigger SOURCE_LOAD ({"table_group": "SNPCC"} to limit). Check the SQL log lines, Q4, Q6, Q7.</t>
        </is>
      </c>
      <c r="F75" s="14" t="inlineStr"/>
      <c r="G75" s="13" t="inlineStr">
        <is>
          <t>Airflow DAG OSSTD_CORE_CMS_COMPLIANCE_SOURCE_LOAD
Trigger DAG w/ config:
{"project": "CMSUNIV", "table_group": "SNPCC"}</t>
        </is>
      </c>
      <c r="H75" s="13" t="inlineStr">
        <is>
          <t>1. Check the precondition
2. Prepare the input: No driver in the Connection Extra
3. Run the job
4. Run the verification SQL (replace &lt;batch&gt;, &lt;table&gt;)
5. Compare with the expected result and record the outcome</t>
        </is>
      </c>
      <c r="I75" s="14" t="inlineStr">
        <is>
          <t>SELECT Load_ID, File_Path, Load_Stat, Reject_Rsn_Cd, Rules_Stat, Stg_Rcd_Cnt, Error_Txt, Updated_Dtts
FROM HSABC_DEV.ComplianceFileLoad WHERE Btch_ID = '&lt;batch&gt;' ORDER BY Load_ID DESC;
SELECT Src_Data_Key, COUNT(*) AS Rows_, MIN(StagingCreateDate), MAX(Load_Dtts)
FROM CMSUNIV_CORE_DEV_T.&lt;core table&gt; WHERE Btch_ID = '&lt;batch&gt;' GROUP BY 1;
SELECT Btch_ID, Src_ID, Req_Stat, Resolution_Ty, Batch_Close_Ind, Reuse_Btch_ID, Rpt_Start_Dt_Key, Rpt_End_Dt_Key
FROM HSABC_DEV.ComplianceRequestControl WHERE Btch_ID = '&lt;batch&gt;' ORDER BY Src_ID;</t>
        </is>
      </c>
      <c r="J75" s="13" t="inlineStr">
        <is>
          <t>Log uses ODBC driver ODBC Driver 17 for SQL Server (newest installed)</t>
        </is>
      </c>
      <c r="K75" s="15" t="inlineStr">
        <is>
          <t>Not Run</t>
        </is>
      </c>
      <c r="L75" s="15" t="inlineStr"/>
      <c r="M75" s="15" t="inlineStr"/>
      <c r="N75" s="15" t="inlineStr"/>
      <c r="O75" s="15" t="inlineStr"/>
      <c r="P75" s="15" t="inlineStr"/>
      <c r="Q75" s="15" t="inlineStr"/>
    </row>
    <row r="76">
      <c r="A76" s="12" t="inlineStr">
        <is>
          <t>SL-03</t>
        </is>
      </c>
      <c r="B76" s="13" t="inlineStr">
        <is>
          <t>Internal sources</t>
        </is>
      </c>
      <c r="C76" s="13" t="inlineStr">
        <is>
          <t>Empty before close</t>
        </is>
      </c>
      <c r="D76" s="13" t="inlineStr">
        <is>
          <t>No source rows, close date later</t>
        </is>
      </c>
      <c r="E76" s="13" t="inlineStr">
        <is>
          <t>Trigger SOURCE_LOAD ({"table_group": "SNPCC"} to limit). Check the SQL log lines, Q4, Q6, Q7.</t>
        </is>
      </c>
      <c r="F76" s="14" t="inlineStr"/>
      <c r="G76" s="13" t="inlineStr">
        <is>
          <t>Airflow DAG OSSTD_CORE_CMS_COMPLIANCE_SOURCE_LOAD
Trigger DAG w/ config:
{"project": "CMSUNIV", "table_group": "SNPCC"}</t>
        </is>
      </c>
      <c r="H76" s="13" t="inlineStr">
        <is>
          <t>1. Check the precondition
2. Prepare the input: No source rows, close date later
3. Run the job
4. Run the verification SQL (replace &lt;batch&gt;, &lt;table&gt;)
5. Compare with the expected result and record the outcome</t>
        </is>
      </c>
      <c r="I76" s="14" t="inlineStr">
        <is>
          <t>SELECT Load_ID, File_Path, Load_Stat, Reject_Rsn_Cd, Rules_Stat, Stg_Rcd_Cnt, Error_Txt, Updated_Dtts
FROM HSABC_DEV.ComplianceFileLoad WHERE Btch_ID = '&lt;batch&gt;' ORDER BY Load_ID DESC;
SELECT Src_Data_Key, COUNT(*) AS Rows_, MIN(StagingCreateDate), MAX(Load_Dtts)
FROM CMSUNIV_CORE_DEV_T.&lt;core table&gt; WHERE Btch_ID = '&lt;batch&gt;' GROUP BY 1;
SELECT Btch_ID, Src_ID, Req_Stat, Resolution_Ty, Batch_Close_Ind, Reuse_Btch_ID, Rpt_Start_Dt_Key, Rpt_End_Dt_Key
FROM HSABC_DEV.ComplianceRequestControl WHERE Btch_ID = '&lt;batch&gt;' ORDER BY Src_ID;</t>
        </is>
      </c>
      <c r="J76" s="13" t="inlineStr">
        <is>
          <t>NO_DATA_YET, report WAITING, pulled again next run</t>
        </is>
      </c>
      <c r="K76" s="15" t="inlineStr">
        <is>
          <t>Not Run</t>
        </is>
      </c>
      <c r="L76" s="15" t="inlineStr"/>
      <c r="M76" s="15" t="inlineStr"/>
      <c r="N76" s="15" t="inlineStr"/>
      <c r="O76" s="15" t="inlineStr"/>
      <c r="P76" s="15" t="inlineStr"/>
      <c r="Q76" s="15" t="inlineStr"/>
    </row>
    <row r="77">
      <c r="A77" s="12" t="inlineStr">
        <is>
          <t>SL-04</t>
        </is>
      </c>
      <c r="B77" s="13" t="inlineStr">
        <is>
          <t>Internal sources</t>
        </is>
      </c>
      <c r="C77" s="13" t="inlineStr">
        <is>
          <t>Empty on close date</t>
        </is>
      </c>
      <c r="D77" s="13" t="inlineStr">
        <is>
          <t>No rows on the close date (DLY)</t>
        </is>
      </c>
      <c r="E77" s="13" t="inlineStr">
        <is>
          <t>Trigger SOURCE_LOAD ({"table_group": "SNPCC"} to limit). Check the SQL log lines, Q4, Q6, Q7.</t>
        </is>
      </c>
      <c r="F77" s="14" t="inlineStr"/>
      <c r="G77" s="13" t="inlineStr">
        <is>
          <t>Airflow DAG OSSTD_CORE_CMS_COMPLIANCE_SOURCE_LOAD
Trigger DAG w/ config:
{"project": "CMSUNIV", "table_group": "SNPCC"}</t>
        </is>
      </c>
      <c r="H77" s="13" t="inlineStr">
        <is>
          <t>1. Check the precondition
2. Prepare the input: No rows on the close date (DLY)
3. Run the job
4. Run the verification SQL (replace &lt;batch&gt;, &lt;table&gt;)
5. Compare with the expected result and record the outcome</t>
        </is>
      </c>
      <c r="I77" s="14" t="inlineStr">
        <is>
          <t>SELECT Load_ID, File_Path, Load_Stat, Reject_Rsn_Cd, Rules_Stat, Stg_Rcd_Cnt, Error_Txt, Updated_Dtts
FROM HSABC_DEV.ComplianceFileLoad WHERE Btch_ID = '&lt;batch&gt;' ORDER BY Load_ID DESC;
SELECT Src_Data_Key, COUNT(*) AS Rows_, MIN(StagingCreateDate), MAX(Load_Dtts)
FROM CMSUNIV_CORE_DEV_T.&lt;core table&gt; WHERE Btch_ID = '&lt;batch&gt;' GROUP BY 1;
SELECT Btch_ID, Src_ID, Req_Stat, Resolution_Ty, Batch_Close_Ind, Reuse_Btch_ID, Rpt_Start_Dt_Key, Rpt_End_Dt_Key
FROM HSABC_DEV.ComplianceRequestControl WHERE Btch_ID = '&lt;batch&gt;' ORDER BY Src_ID;</t>
        </is>
      </c>
      <c r="J77" s="13" t="inlineStr">
        <is>
          <t>FILE_LOADED 0 rows, batch SOURCE_DATA_READY_NO_DATA; still pulled again until closed</t>
        </is>
      </c>
      <c r="K77" s="15" t="inlineStr">
        <is>
          <t>Not Run</t>
        </is>
      </c>
      <c r="L77" s="15" t="inlineStr"/>
      <c r="M77" s="15" t="inlineStr"/>
      <c r="N77" s="15" t="inlineStr"/>
      <c r="O77" s="15" t="inlineStr"/>
      <c r="P77" s="15" t="inlineStr"/>
      <c r="Q77" s="15" t="inlineStr"/>
    </row>
    <row r="78">
      <c r="A78" s="12" t="inlineStr">
        <is>
          <t>SL-05</t>
        </is>
      </c>
      <c r="B78" s="13" t="inlineStr">
        <is>
          <t>Internal sources</t>
        </is>
      </c>
      <c r="C78" s="13" t="inlineStr">
        <is>
          <t>Late source data</t>
        </is>
      </c>
      <c r="D78" s="13" t="inlineStr">
        <is>
          <t>SL-04, then load source rows, rerun</t>
        </is>
      </c>
      <c r="E78" s="13" t="inlineStr">
        <is>
          <t>Trigger SOURCE_LOAD ({"table_group": "SNPCC"} to limit). Check the SQL log lines, Q4, Q6, Q7.</t>
        </is>
      </c>
      <c r="F78" s="14" t="inlineStr"/>
      <c r="G78" s="13" t="inlineStr">
        <is>
          <t>Airflow DAG OSSTD_CORE_CMS_COMPLIANCE_SOURCE_LOAD
Trigger DAG w/ config:
{"project": "CMSUNIV", "table_group": "SNPCC"}</t>
        </is>
      </c>
      <c r="H78" s="13" t="inlineStr">
        <is>
          <t>1. Check the precondition
2. Prepare the input: SL-04, then load source rows, rerun
3. Run the job
4. Run the verification SQL (replace &lt;batch&gt;, &lt;table&gt;)
5. Compare with the expected result and record the outcome</t>
        </is>
      </c>
      <c r="I78" s="14" t="inlineStr">
        <is>
          <t>SELECT Load_ID, File_Path, Load_Stat, Reject_Rsn_Cd, Rules_Stat, Stg_Rcd_Cnt, Error_Txt, Updated_Dtts
FROM HSABC_DEV.ComplianceFileLoad WHERE Btch_ID = '&lt;batch&gt;' ORDER BY Load_ID DESC;
SELECT Src_Data_Key, COUNT(*) AS Rows_, MIN(StagingCreateDate), MAX(Load_Dtts)
FROM CMSUNIV_CORE_DEV_T.&lt;core table&gt; WHERE Btch_ID = '&lt;batch&gt;' GROUP BY 1;
SELECT Btch_ID, Src_ID, Req_Stat, Resolution_Ty, Batch_Close_Ind, Reuse_Btch_ID, Rpt_Start_Dt_Key, Rpt_End_Dt_Key
FROM HSABC_DEV.ComplianceRequestControl WHERE Btch_ID = '&lt;batch&gt;' ORDER BY Src_ID;</t>
        </is>
      </c>
      <c r="J78" s="13" t="inlineStr">
        <is>
          <t>Rows pulled; batch SOURCE_DATA_READY</t>
        </is>
      </c>
      <c r="K78" s="15" t="inlineStr">
        <is>
          <t>Not Run</t>
        </is>
      </c>
      <c r="L78" s="15" t="inlineStr"/>
      <c r="M78" s="15" t="inlineStr"/>
      <c r="N78" s="15" t="inlineStr"/>
      <c r="O78" s="15" t="inlineStr"/>
      <c r="P78" s="15" t="inlineStr"/>
      <c r="Q78" s="15" t="inlineStr"/>
    </row>
    <row r="79">
      <c r="A79" s="12" t="inlineStr">
        <is>
          <t>SL-06</t>
        </is>
      </c>
      <c r="B79" s="13" t="inlineStr">
        <is>
          <t>Internal sources</t>
        </is>
      </c>
      <c r="C79" s="13" t="inlineStr">
        <is>
          <t>Connection failure</t>
        </is>
      </c>
      <c r="D79" s="13" t="inlineStr">
        <is>
          <t>Wrong host in the Connection</t>
        </is>
      </c>
      <c r="E79" s="13" t="inlineStr">
        <is>
          <t>Trigger SOURCE_LOAD ({"table_group": "SNPCC"} to limit). Check the SQL log lines, Q4, Q6, Q7.</t>
        </is>
      </c>
      <c r="F79" s="14" t="inlineStr"/>
      <c r="G79" s="13" t="inlineStr">
        <is>
          <t>Airflow DAG OSSTD_CORE_CMS_COMPLIANCE_SOURCE_LOAD
Trigger DAG w/ config:
{"project": "CMSUNIV", "table_group": "SNPCC"}</t>
        </is>
      </c>
      <c r="H79" s="13" t="inlineStr">
        <is>
          <t>1. Check the precondition
2. Prepare the input: Wrong host in the Connection
3. Run the job
4. Run the verification SQL (replace &lt;batch&gt;, &lt;table&gt;)
5. Compare with the expected result and record the outcome</t>
        </is>
      </c>
      <c r="I79" s="14" t="inlineStr">
        <is>
          <t>SELECT Load_ID, File_Path, Load_Stat, Reject_Rsn_Cd, Rules_Stat, Stg_Rcd_Cnt, Error_Txt, Updated_Dtts
FROM HSABC_DEV.ComplianceFileLoad WHERE Btch_ID = '&lt;batch&gt;' ORDER BY Load_ID DESC;
SELECT Src_Data_Key, COUNT(*) AS Rows_, MIN(StagingCreateDate), MAX(Load_Dtts)
FROM CMSUNIV_CORE_DEV_T.&lt;core table&gt; WHERE Btch_ID = '&lt;batch&gt;' GROUP BY 1;
SELECT Btch_ID, Src_ID, Req_Stat, Resolution_Ty, Batch_Close_Ind, Reuse_Btch_ID, Rpt_Start_Dt_Key, Rpt_End_Dt_Key
FROM HSABC_DEV.ComplianceRequestControl WHERE Btch_ID = '&lt;batch&gt;' ORDER BY Src_ID;</t>
        </is>
      </c>
      <c r="J79" s="13" t="inlineStr">
        <is>
          <t>REJECTED SOURCE_QUERY_FAILED "could not connect to SQL_SNPCC: [HYT00] …"; incident recorded</t>
        </is>
      </c>
      <c r="K79" s="15" t="inlineStr">
        <is>
          <t>Not Run</t>
        </is>
      </c>
      <c r="L79" s="15" t="inlineStr"/>
      <c r="M79" s="15" t="inlineStr"/>
      <c r="N79" s="15" t="inlineStr"/>
      <c r="O79" s="15" t="inlineStr"/>
      <c r="P79" s="15" t="inlineStr"/>
      <c r="Q79" s="15" t="inlineStr"/>
    </row>
    <row r="80">
      <c r="A80" s="12" t="inlineStr">
        <is>
          <t>SL-07</t>
        </is>
      </c>
      <c r="B80" s="13" t="inlineStr">
        <is>
          <t>Internal sources</t>
        </is>
      </c>
      <c r="C80" s="13" t="inlineStr">
        <is>
          <t>Query failure</t>
        </is>
      </c>
      <c r="D80" s="13" t="inlineStr">
        <is>
          <t>Wrong column in Src_Sql_Txt</t>
        </is>
      </c>
      <c r="E80" s="13" t="inlineStr">
        <is>
          <t>Trigger SOURCE_LOAD ({"table_group": "SNPCC"} to limit). Check the SQL log lines, Q4, Q6, Q7.</t>
        </is>
      </c>
      <c r="F80" s="14" t="inlineStr">
        <is>
          <t>UPDATE HSABC_DEV.ComplianceInternalSourceConfig SET Src_Sql_Txt = '&lt;query with a wrong column&gt;'
WHERE Project_Cd = 'CMSUNIV' AND Table_Nm = 'SNPCC1' AND Src_ID = '11';  -- keep the old text to restore</t>
        </is>
      </c>
      <c r="G80" s="13" t="inlineStr">
        <is>
          <t>Airflow DAG OSSTD_CORE_CMS_COMPLIANCE_SOURCE_LOAD
Trigger DAG w/ config:
{"project": "CMSUNIV", "table_group": "SNPCC"}</t>
        </is>
      </c>
      <c r="H80" s="13" t="inlineStr">
        <is>
          <t>1. Check the precondition and run the setup SQL
2. Prepare the input: Wrong column in Src_Sql_Txt
3. Run the job
4. Run the verification SQL (replace &lt;batch&gt;, &lt;table&gt;)
5. Compare with the expected result and record the outcome</t>
        </is>
      </c>
      <c r="I80" s="14" t="inlineStr">
        <is>
          <t>SELECT Load_ID, File_Path, Load_Stat, Reject_Rsn_Cd, Rules_Stat, Stg_Rcd_Cnt, Error_Txt, Updated_Dtts
FROM HSABC_DEV.ComplianceFileLoad WHERE Btch_ID = '&lt;batch&gt;' ORDER BY Load_ID DESC;
SELECT Src_Data_Key, COUNT(*) AS Rows_, MIN(StagingCreateDate), MAX(Load_Dtts)
FROM CMSUNIV_CORE_DEV_T.&lt;core table&gt; WHERE Btch_ID = '&lt;batch&gt;' GROUP BY 1;
SELECT Btch_ID, Src_ID, Req_Stat, Resolution_Ty, Batch_Close_Ind, Reuse_Btch_ID, Rpt_Start_Dt_Key, Rpt_End_Dt_Key
FROM HSABC_DEV.ComplianceRequestControl WHERE Btch_ID = '&lt;batch&gt;' ORDER BY Src_ID;</t>
        </is>
      </c>
      <c r="J80" s="13" t="inlineStr">
        <is>
          <t>"the query on SQL_SNPCC failed: [42S22] … Invalid column name '…'"; data values masked</t>
        </is>
      </c>
      <c r="K80" s="15" t="inlineStr">
        <is>
          <t>Not Run</t>
        </is>
      </c>
      <c r="L80" s="15" t="inlineStr"/>
      <c r="M80" s="15" t="inlineStr"/>
      <c r="N80" s="15" t="inlineStr"/>
      <c r="O80" s="15" t="inlineStr"/>
      <c r="P80" s="15" t="inlineStr"/>
      <c r="Q80" s="15" t="inlineStr"/>
    </row>
    <row r="81">
      <c r="A81" s="12" t="inlineStr">
        <is>
          <t>SL-08</t>
        </is>
      </c>
      <c r="B81" s="13" t="inlineStr">
        <is>
          <t>Internal sources</t>
        </is>
      </c>
      <c r="C81" s="13" t="inlineStr">
        <is>
          <t>Names not in staging</t>
        </is>
      </c>
      <c r="D81" s="13" t="inlineStr">
        <is>
          <t>Column not aliased to a staging name</t>
        </is>
      </c>
      <c r="E81" s="13" t="inlineStr">
        <is>
          <t>Trigger SOURCE_LOAD ({"table_group": "SNPCC"} to limit). Check the SQL log lines, Q4, Q6, Q7.</t>
        </is>
      </c>
      <c r="F81" s="14" t="inlineStr"/>
      <c r="G81" s="13" t="inlineStr">
        <is>
          <t>Airflow DAG OSSTD_CORE_CMS_COMPLIANCE_SOURCE_LOAD
Trigger DAG w/ config:
{"project": "CMSUNIV", "table_group": "SNPCC"}</t>
        </is>
      </c>
      <c r="H81" s="13" t="inlineStr">
        <is>
          <t>1. Check the precondition
2. Prepare the input: Column not aliased to a staging name
3. Run the job
4. Run the verification SQL (replace &lt;batch&gt;, &lt;table&gt;)
5. Compare with the expected result and record the outcome</t>
        </is>
      </c>
      <c r="I81" s="14" t="inlineStr">
        <is>
          <t>SELECT Load_ID, File_Path, Load_Stat, Reject_Rsn_Cd, Rules_Stat, Stg_Rcd_Cnt, Error_Txt, Updated_Dtts
FROM HSABC_DEV.ComplianceFileLoad WHERE Btch_ID = '&lt;batch&gt;' ORDER BY Load_ID DESC;
SELECT Src_Data_Key, COUNT(*) AS Rows_, MIN(StagingCreateDate), MAX(Load_Dtts)
FROM CMSUNIV_CORE_DEV_T.&lt;core table&gt; WHERE Btch_ID = '&lt;batch&gt;' GROUP BY 1;
SELECT Btch_ID, Src_ID, Req_Stat, Resolution_Ty, Batch_Close_Ind, Reuse_Btch_ID, Rpt_Start_Dt_Key, Rpt_End_Dt_Key
FROM HSABC_DEV.ComplianceRequestControl WHERE Btch_ID = '&lt;batch&gt;' ORDER BY Src_ID;</t>
        </is>
      </c>
      <c r="J81" s="13" t="inlineStr">
        <is>
          <t>SOURCE_DATA_REJECTED listing the names</t>
        </is>
      </c>
      <c r="K81" s="15" t="inlineStr">
        <is>
          <t>Not Run</t>
        </is>
      </c>
      <c r="L81" s="15" t="inlineStr"/>
      <c r="M81" s="15" t="inlineStr"/>
      <c r="N81" s="15" t="inlineStr"/>
      <c r="O81" s="15" t="inlineStr"/>
      <c r="P81" s="15" t="inlineStr"/>
      <c r="Q81" s="15" t="inlineStr"/>
    </row>
    <row r="82">
      <c r="A82" s="12" t="inlineStr">
        <is>
          <t>SL-09</t>
        </is>
      </c>
      <c r="B82" s="13" t="inlineStr">
        <is>
          <t>Internal sources</t>
        </is>
      </c>
      <c r="C82" s="13" t="inlineStr">
        <is>
          <t>Source value wins</t>
        </is>
      </c>
      <c r="D82" s="13" t="inlineStr">
        <is>
          <t>Query returns the ID column that has a ROW_SEQUENCE row</t>
        </is>
      </c>
      <c r="E82" s="13" t="inlineStr">
        <is>
          <t>Trigger SOURCE_LOAD ({"table_group": "SNPCC"} to limit). Check the SQL log lines, Q4, Q6, Q7.</t>
        </is>
      </c>
      <c r="F82" s="14" t="inlineStr"/>
      <c r="G82" s="13" t="inlineStr">
        <is>
          <t>Airflow DAG OSSTD_CORE_CMS_COMPLIANCE_SOURCE_LOAD
Trigger DAG w/ config:
{"project": "CMSUNIV", "table_group": "SNPCC"}</t>
        </is>
      </c>
      <c r="H82" s="13" t="inlineStr">
        <is>
          <t>1. Check the precondition
2. Prepare the input: Query returns the ID column that has a ROW_SEQUENCE row
3. Run the job
4. Run the verification SQL (replace &lt;batch&gt;, &lt;table&gt;)
5. Compare with the expected result and record the outcome</t>
        </is>
      </c>
      <c r="I82" s="14" t="inlineStr">
        <is>
          <t>SELECT Load_ID, File_Path, Load_Stat, Reject_Rsn_Cd, Rules_Stat, Stg_Rcd_Cnt, Error_Txt, Updated_Dtts
FROM HSABC_DEV.ComplianceFileLoad WHERE Btch_ID = '&lt;batch&gt;' ORDER BY Load_ID DESC;
SELECT Src_Data_Key, COUNT(*) AS Rows_, MIN(StagingCreateDate), MAX(Load_Dtts)
FROM CMSUNIV_CORE_DEV_T.&lt;core table&gt; WHERE Btch_ID = '&lt;batch&gt;' GROUP BY 1;
SELECT Btch_ID, Src_ID, Req_Stat, Resolution_Ty, Batch_Close_Ind, Reuse_Btch_ID, Rpt_Start_Dt_Key, Rpt_End_Dt_Key
FROM HSABC_DEV.ComplianceRequestControl WHERE Btch_ID = '&lt;batch&gt;' ORDER BY Src_ID;</t>
        </is>
      </c>
      <c r="J82" s="13" t="inlineStr">
        <is>
          <t>ID from the source</t>
        </is>
      </c>
      <c r="K82" s="15" t="inlineStr">
        <is>
          <t>Not Run</t>
        </is>
      </c>
      <c r="L82" s="15" t="inlineStr"/>
      <c r="M82" s="15" t="inlineStr"/>
      <c r="N82" s="15" t="inlineStr"/>
      <c r="O82" s="15" t="inlineStr"/>
      <c r="P82" s="15" t="inlineStr"/>
      <c r="Q82" s="15" t="inlineStr"/>
    </row>
    <row r="83">
      <c r="A83" s="12" t="inlineStr">
        <is>
          <t>SL-10</t>
        </is>
      </c>
      <c r="B83" s="13" t="inlineStr">
        <is>
          <t>Internal sources</t>
        </is>
      </c>
      <c r="C83" s="13" t="inlineStr">
        <is>
          <t>Framework columns protected</t>
        </is>
      </c>
      <c r="D83" s="13" t="inlineStr">
        <is>
          <t>Query returns Src_Data_Key</t>
        </is>
      </c>
      <c r="E83" s="13" t="inlineStr">
        <is>
          <t>Trigger SOURCE_LOAD ({"table_group": "SNPCC"} to limit). Check the SQL log lines, Q4, Q6, Q7.</t>
        </is>
      </c>
      <c r="F83" s="14" t="inlineStr"/>
      <c r="G83" s="13" t="inlineStr">
        <is>
          <t>Airflow DAG OSSTD_CORE_CMS_COMPLIANCE_SOURCE_LOAD
Trigger DAG w/ config:
{"project": "CMSUNIV", "table_group": "SNPCC"}</t>
        </is>
      </c>
      <c r="H83" s="13" t="inlineStr">
        <is>
          <t>1. Check the precondition
2. Prepare the input: Query returns Src_Data_Key
3. Run the job
4. Run the verification SQL (replace &lt;batch&gt;, &lt;table&gt;)
5. Compare with the expected result and record the outcome</t>
        </is>
      </c>
      <c r="I83" s="14" t="inlineStr">
        <is>
          <t>SELECT Load_ID, File_Path, Load_Stat, Reject_Rsn_Cd, Rules_Stat, Stg_Rcd_Cnt, Error_Txt, Updated_Dtts
FROM HSABC_DEV.ComplianceFileLoad WHERE Btch_ID = '&lt;batch&gt;' ORDER BY Load_ID DESC;
SELECT Src_Data_Key, COUNT(*) AS Rows_, MIN(StagingCreateDate), MAX(Load_Dtts)
FROM CMSUNIV_CORE_DEV_T.&lt;core table&gt; WHERE Btch_ID = '&lt;batch&gt;' GROUP BY 1;
SELECT Btch_ID, Src_ID, Req_Stat, Resolution_Ty, Batch_Close_Ind, Reuse_Btch_ID, Rpt_Start_Dt_Key, Rpt_End_Dt_Key
FROM HSABC_DEV.ComplianceRequestControl WHERE Btch_ID = '&lt;batch&gt;' ORDER BY Src_ID;</t>
        </is>
      </c>
      <c r="J83" s="13" t="inlineStr">
        <is>
          <t>Rejected: "the batch, source or load column, which the framework always fills"</t>
        </is>
      </c>
      <c r="K83" s="15" t="inlineStr">
        <is>
          <t>Not Run</t>
        </is>
      </c>
      <c r="L83" s="15" t="inlineStr"/>
      <c r="M83" s="15" t="inlineStr"/>
      <c r="N83" s="15" t="inlineStr"/>
      <c r="O83" s="15" t="inlineStr"/>
      <c r="P83" s="15" t="inlineStr"/>
      <c r="Q83" s="15" t="inlineStr"/>
    </row>
    <row r="84">
      <c r="A84" s="12" t="inlineStr">
        <is>
          <t>SL-11</t>
        </is>
      </c>
      <c r="B84" s="13" t="inlineStr">
        <is>
          <t>Internal sources</t>
        </is>
      </c>
      <c r="C84" s="13" t="inlineStr">
        <is>
          <t>Ad hoc held</t>
        </is>
      </c>
      <c r="D84" s="13" t="inlineStr">
        <is>
          <t>IN1 / CMS batch</t>
        </is>
      </c>
      <c r="E84" s="13" t="inlineStr">
        <is>
          <t>Trigger SOURCE_LOAD ({"table_group": "SNPCC"} to limit). Check the SQL log lines, Q4, Q6, Q7.</t>
        </is>
      </c>
      <c r="F84" s="14" t="inlineStr"/>
      <c r="G84" s="13" t="inlineStr">
        <is>
          <t>Airflow DAG OSSTD_CORE_CMS_COMPLIANCE_SOURCE_LOAD
Trigger DAG w/ config:
{"project": "CMSUNIV", "table_group": "SNPCC"}</t>
        </is>
      </c>
      <c r="H84" s="13" t="inlineStr">
        <is>
          <t>1. Check the precondition
2. Prepare the input: IN1 / CMS batch
3. Run the job
4. Run the verification SQL (replace &lt;batch&gt;, &lt;table&gt;)
5. Compare with the expected result and record the outcome</t>
        </is>
      </c>
      <c r="I84" s="14" t="inlineStr">
        <is>
          <t>SELECT Btch_ID, Src_ID, Req_Stat, Resolution_Ty, Batch_Close_Ind, Reuse_Btch_ID, Rpt_Start_Dt_Key, Rpt_End_Dt_Key
FROM HSABC_DEV.ComplianceRequestControl WHERE Btch_ID = '&lt;batch&gt;' ORDER BY Src_ID;</t>
        </is>
      </c>
      <c r="J84" s="13" t="inlineStr">
        <is>
          <t>Under held; not pulled until release</t>
        </is>
      </c>
      <c r="K84" s="15" t="inlineStr">
        <is>
          <t>Not Run</t>
        </is>
      </c>
      <c r="L84" s="15" t="inlineStr"/>
      <c r="M84" s="15" t="inlineStr"/>
      <c r="N84" s="15" t="inlineStr"/>
      <c r="O84" s="15" t="inlineStr"/>
      <c r="P84" s="15" t="inlineStr"/>
      <c r="Q84" s="15" t="inlineStr"/>
    </row>
    <row r="85">
      <c r="A85" s="12" t="inlineStr">
        <is>
          <t>SL-12</t>
        </is>
      </c>
      <c r="B85" s="13" t="inlineStr">
        <is>
          <t>Internal sources</t>
        </is>
      </c>
      <c r="C85" s="13" t="inlineStr">
        <is>
          <t>Same Teradata system</t>
        </is>
      </c>
      <c r="D85" s="13" t="inlineStr">
        <is>
          <t>Internal source with Src_Db_Ty = TERADATA, no connection</t>
        </is>
      </c>
      <c r="E85" s="13" t="inlineStr">
        <is>
          <t>Trigger SOURCE_LOAD ({"table_group": "SNPCC"} to limit). Check the SQL log lines, Q4, Q6, Q7.</t>
        </is>
      </c>
      <c r="F85" s="14" t="inlineStr"/>
      <c r="G85" s="13" t="inlineStr">
        <is>
          <t>Airflow DAG OSSTD_CORE_CMS_COMPLIANCE_SOURCE_LOAD
Trigger DAG w/ config:
{"project": "CMSUNIV", "table_group": "SNPCC"}</t>
        </is>
      </c>
      <c r="H85" s="13" t="inlineStr">
        <is>
          <t>1. Check the precondition
2. Prepare the input: Internal source with Src_Db_Ty = TERADATA, no connection
3. Run the job
4. Run the verification SQL (replace &lt;batch&gt;, &lt;table&gt;)
5. Compare with the expected result and record the outcome</t>
        </is>
      </c>
      <c r="I85" s="14" t="inlineStr">
        <is>
          <t>SELECT Load_ID, File_Path, Load_Stat, Reject_Rsn_Cd, Rules_Stat, Stg_Rcd_Cnt, Error_Txt, Updated_Dtts
FROM HSABC_DEV.ComplianceFileLoad WHERE Btch_ID = '&lt;batch&gt;' ORDER BY Load_ID DESC;
SELECT Src_Data_Key, COUNT(*) AS Rows_, MIN(StagingCreateDate), MAX(Load_Dtts)
FROM CMSUNIV_CORE_DEV_T.&lt;core table&gt; WHERE Btch_ID = '&lt;batch&gt;' GROUP BY 1;
SELECT Btch_ID, Src_ID, Req_Stat, Resolution_Ty, Batch_Close_Ind, Reuse_Btch_ID, Rpt_Start_Dt_Key, Rpt_End_Dt_Key
FROM HSABC_DEV.ComplianceRequestControl WHERE Btch_ID = '&lt;batch&gt;' ORDER BY Src_ID;</t>
        </is>
      </c>
      <c r="J85" s="13" t="inlineStr">
        <is>
          <t>INSERT … SELECT on Teradata; rows loaded</t>
        </is>
      </c>
      <c r="K85" s="15" t="inlineStr">
        <is>
          <t>Not Run</t>
        </is>
      </c>
      <c r="L85" s="15" t="inlineStr"/>
      <c r="M85" s="15" t="inlineStr"/>
      <c r="N85" s="15" t="inlineStr"/>
      <c r="O85" s="15" t="inlineStr"/>
      <c r="P85" s="15" t="inlineStr"/>
      <c r="Q85" s="15" t="inlineStr"/>
    </row>
    <row r="86">
      <c r="A86" s="12" t="inlineStr">
        <is>
          <t>SL-13</t>
        </is>
      </c>
      <c r="B86" s="13" t="inlineStr">
        <is>
          <t>Internal sources</t>
        </is>
      </c>
      <c r="C86" s="13" t="inlineStr">
        <is>
          <t>Type conversion / NOT NULL</t>
        </is>
      </c>
      <c r="D86" s="13" t="inlineStr">
        <is>
          <t>Pull into a typed core, or a NOT NULL gap</t>
        </is>
      </c>
      <c r="E86" s="13" t="inlineStr">
        <is>
          <t>Trigger SOURCE_LOAD ({"table_group": "SNPCC"} to limit). Check the SQL log lines, Q4, Q6, Q7.</t>
        </is>
      </c>
      <c r="F86" s="14" t="inlineStr"/>
      <c r="G86" s="13" t="inlineStr">
        <is>
          <t>Airflow DAG OSSTD_CORE_CMS_COMPLIANCE_SOURCE_LOAD
Trigger DAG w/ config:
{"project": "CMSUNIV", "table_group": "SNPCC"}</t>
        </is>
      </c>
      <c r="H86" s="13" t="inlineStr">
        <is>
          <t>1. Check the precondition
2. Prepare the input: Pull into a typed core, or a NOT NULL gap
3. Run the job
4. Run the verification SQL (replace &lt;batch&gt;, &lt;table&gt;)
5. Compare with the expected result and record the outcome</t>
        </is>
      </c>
      <c r="I86" s="14" t="inlineStr">
        <is>
          <t>SELECT Load_ID, File_Path, Load_Stat, Reject_Rsn_Cd, Rules_Stat, Stg_Rcd_Cnt, Error_Txt, Updated_Dtts
FROM HSABC_DEV.ComplianceFileLoad WHERE Btch_ID = '&lt;batch&gt;' ORDER BY Load_ID DESC;
SELECT Src_Data_Key, COUNT(*) AS Rows_, MIN(StagingCreateDate), MAX(Load_Dtts)
FROM CMSUNIV_CORE_DEV_T.&lt;core table&gt; WHERE Btch_ID = '&lt;batch&gt;' GROUP BY 1;
SELECT Btch_ID, Src_ID, Req_Stat, Resolution_Ty, Batch_Close_Ind, Reuse_Btch_ID, Rpt_Start_Dt_Key, Rpt_End_Dt_Key
FROM HSABC_DEV.ComplianceRequestControl WHERE Btch_ID = '&lt;batch&gt;' ORDER BY Src_ID;</t>
        </is>
      </c>
      <c r="J86" s="13" t="inlineStr">
        <is>
          <t>As FL-03 / FL-05 (CORE_TYPE_MISMATCH)</t>
        </is>
      </c>
      <c r="K86" s="15" t="inlineStr">
        <is>
          <t>Not Run</t>
        </is>
      </c>
      <c r="L86" s="15" t="inlineStr"/>
      <c r="M86" s="15" t="inlineStr"/>
      <c r="N86" s="15" t="inlineStr"/>
      <c r="O86" s="15" t="inlineStr"/>
      <c r="P86" s="15" t="inlineStr"/>
      <c r="Q86" s="15" t="inlineStr"/>
    </row>
    <row r="87">
      <c r="A87" s="12" t="inlineStr">
        <is>
          <t>SL-14</t>
        </is>
      </c>
      <c r="B87" s="13" t="inlineStr">
        <is>
          <t>Internal sources</t>
        </is>
      </c>
      <c r="C87" s="13" t="inlineStr">
        <is>
          <t>Concurrent with FILE_LOAD</t>
        </is>
      </c>
      <c r="D87" s="13" t="inlineStr">
        <is>
          <t>SL-01 while FILE_LOAD loads the same staging table</t>
        </is>
      </c>
      <c r="E87" s="13" t="inlineStr">
        <is>
          <t>Trigger SOURCE_LOAD ({"table_group": "SNPCC"} to limit). Check the SQL log lines, Q4, Q6, Q7.</t>
        </is>
      </c>
      <c r="F87" s="14" t="inlineStr"/>
      <c r="G87" s="13" t="inlineStr">
        <is>
          <t>Airflow DAG OSSTD_CORE_CMS_COMPLIANCE_SOURCE_LOAD
Trigger DAG w/ config:
{"project": "CMSUNIV", "table_group": "SNPCC"}</t>
        </is>
      </c>
      <c r="H87" s="13" t="inlineStr">
        <is>
          <t>1. Check the precondition
2. Prepare the input: SL-01 while FILE_LOAD loads the same staging table
3. Run the job
4. Run the verification SQL (replace &lt;batch&gt;, &lt;table&gt;)
5. Compare with the expected result and record the outcome</t>
        </is>
      </c>
      <c r="I87" s="14" t="inlineStr">
        <is>
          <t>SELECT Load_ID, File_Path, Load_Stat, Reject_Rsn_Cd, Rules_Stat, Stg_Rcd_Cnt, Error_Txt, Updated_Dtts
FROM HSABC_DEV.ComplianceFileLoad WHERE Btch_ID = '&lt;batch&gt;' ORDER BY Load_ID DESC;
SELECT Src_Data_Key, COUNT(*) AS Rows_, MIN(StagingCreateDate), MAX(Load_Dtts)
FROM CMSUNIV_CORE_DEV_T.&lt;core table&gt; WHERE Btch_ID = '&lt;batch&gt;' GROUP BY 1;
SELECT Btch_ID, Src_ID, Req_Stat, Resolution_Ty, Batch_Close_Ind, Reuse_Btch_ID, Rpt_Start_Dt_Key, Rpt_End_Dt_Key
FROM HSABC_DEV.ComplianceRequestControl WHERE Btch_ID = '&lt;batch&gt;' ORDER BY Src_ID;</t>
        </is>
      </c>
      <c r="J87" s="13" t="inlineStr">
        <is>
          <t>Both succeed (one waits); each source keeps its staging rows</t>
        </is>
      </c>
      <c r="K87" s="15" t="inlineStr">
        <is>
          <t>Not Run</t>
        </is>
      </c>
      <c r="L87" s="15" t="inlineStr"/>
      <c r="M87" s="15" t="inlineStr"/>
      <c r="N87" s="15" t="inlineStr"/>
      <c r="O87" s="15" t="inlineStr"/>
      <c r="P87" s="15" t="inlineStr"/>
      <c r="Q87" s="15" t="inlineStr"/>
    </row>
    <row r="88">
      <c r="A88" s="12" t="inlineStr">
        <is>
          <t>OV-01</t>
        </is>
      </c>
      <c r="B88" s="13" t="inlineStr">
        <is>
          <t>Overrides</t>
        </is>
      </c>
      <c r="C88" s="13" t="inlineStr">
        <is>
          <t>Carry-forward (CMS)</t>
        </is>
      </c>
      <c r="D88" s="13" t="inlineStr">
        <is>
          <t>Open CMS batch without data; REUSE with an earlier closed CMS batch; run OVERRIDE_DECISIONS</t>
        </is>
      </c>
      <c r="E88" s="13" t="inlineStr">
        <is>
          <t>INSERT INTO HSABC_DEV.ComplianceBatchOverride (Override_Ty, Req_ID, Btch_ID, Reuse_Btch_ID, Apprvl_Stat, Valid_Thru_Dt_Key, Rsn_Txt, Reviewed_By)
VALUES ('&lt;type&gt;', &lt;Req_ID&gt;, '&lt;batch&gt;', '&lt;earlier batch or NULL&gt;', 'APPROVED', CURRENT_DATE + 7, 'test', '&lt;you&gt;');</t>
        </is>
      </c>
      <c r="F88" s="14" t="inlineStr">
        <is>
          <t>INSERT INTO HSABC_DEV.ComplianceBatchOverride (Override_Ty, Req_ID, Btch_ID, Reuse_Btch_ID, Apprvl_Stat, Valid_Thru_Dt_Key, Rsn_Txt, Reviewed_By)
VALUES ('REUSE', &lt;Req_ID of the CMS batch row&gt;, '&lt;CMS batch&gt;', '&lt;earlier closed CMS batch&gt;', 'APPROVED', CURRENT_DATE + 7, 'test', '&lt;you&gt;');</t>
        </is>
      </c>
      <c r="G88" s="13" t="inlineStr">
        <is>
          <t>Airflow DAG OSSTD_CORE_CMS_COMPLIANCE_OVERRIDE_DECISIONS
Trigger DAG w/ config:
{"project": "CMSUNIV"}</t>
        </is>
      </c>
      <c r="H88" s="13" t="inlineStr">
        <is>
          <t>1. Check the precondition and run the setup SQL
2. Prepare the input: Open CMS batch without data; REUSE with an earlier closed CMS batch; run OVERRIDE_DECISIONS
3. Run the job
4. Run the verification SQL (replace &lt;batch&gt;, &lt;table&gt;)
5. Compare with the expected result and record the outcome</t>
        </is>
      </c>
      <c r="I88" s="14" t="inlineStr">
        <is>
          <t>SELECT Ovrd_ID, Override_Ty, Btch_ID, Reuse_Btch_ID, Apprvl_Stat, Valid_Thru_Dt_Key FROM HSABC_DEV.ComplianceBatchOverride ORDER BY Ovrd_ID DESC;
SELECT Btch_ID, Src_ID, Req_Stat, Resolution_Ty, Batch_Close_Ind, Reuse_Btch_ID, Rpt_Start_Dt_Key, Rpt_End_Dt_Key
FROM HSABC_DEV.ComplianceRequestControl WHERE Btch_ID = '&lt;batch&gt;' ORDER BY Src_ID;
SELECT c.Src_ID, d.Event_Dtts, d.Event_Ty, d.Load_ID, d.Event_Txt
FROM HSABC_DEV.ComplianceRequestFileDetail d JOIN HSABC_DEV.ComplianceRequestControl c ON c.Req_ID = d.Req_ID
WHERE c.Btch_ID = '&lt;batch&gt;' ORDER BY c.Src_ID, d.Detail_ID;
SELECT Event_ID, Event_Ty, Sevrty, Src_ID, Load_ID, Event_Txt, Notified_Ind
FROM HSABC_DEV.CMS_ComplianceExceptionsAudit WHERE Btch_ID = '&lt;batch&gt;' ORDER BY Event_ID;</t>
        </is>
      </c>
      <c r="J88" s="13" t="inlineStr">
        <is>
          <t>Batch SOURCE_DATA_CARRY_FORWARD, Reuse_Btch_ID set; OVERRIDE_APPROVED; export copies the reused rows under the new batch ID</t>
        </is>
      </c>
      <c r="K88" s="15" t="inlineStr">
        <is>
          <t>Not Run</t>
        </is>
      </c>
      <c r="L88" s="15" t="inlineStr"/>
      <c r="M88" s="15" t="inlineStr"/>
      <c r="N88" s="15" t="inlineStr"/>
      <c r="O88" s="15" t="inlineStr"/>
      <c r="P88" s="15" t="inlineStr"/>
      <c r="Q88" s="15" t="inlineStr"/>
    </row>
    <row r="89">
      <c r="A89" s="12" t="inlineStr">
        <is>
          <t>OV-02</t>
        </is>
      </c>
      <c r="B89" s="13" t="inlineStr">
        <is>
          <t>Overrides</t>
        </is>
      </c>
      <c r="C89" s="13" t="inlineStr">
        <is>
          <t>Carry-forward refused</t>
        </is>
      </c>
      <c r="D89" s="13" t="inlineStr">
        <is>
          <t>REUSE on a DLY batch (Carry_Fwd_Ind = 0) or on a closed batch</t>
        </is>
      </c>
      <c r="E89" s="13" t="inlineStr">
        <is>
          <t>INSERT INTO HSABC_DEV.ComplianceBatchOverride (Override_Ty, Req_ID, Btch_ID, Reuse_Btch_ID, Apprvl_Stat, Valid_Thru_Dt_Key, Rsn_Txt, Reviewed_By)
VALUES ('&lt;type&gt;', &lt;Req_ID&gt;, '&lt;batch&gt;', '&lt;earlier batch or NULL&gt;', 'APPROVED', CURRENT_DATE + 7, 'test', '&lt;you&gt;');</t>
        </is>
      </c>
      <c r="F89" s="14" t="inlineStr">
        <is>
          <t>INSERT INTO HSABC_DEV.ComplianceBatchOverride (Override_Ty, Req_ID, Btch_ID, Reuse_Btch_ID, Apprvl_Stat, Valid_Thru_Dt_Key, Rsn_Txt, Reviewed_By)
VALUES ('REUSE', &lt;Req_ID of a DLY batch row&gt;, '&lt;DLY batch&gt;', '&lt;earlier DLY batch&gt;', 'APPROVED', CURRENT_DATE + 7, 'test', '&lt;you&gt;');</t>
        </is>
      </c>
      <c r="G89" s="13" t="inlineStr">
        <is>
          <t>Airflow DAG OSSTD_CORE_CMS_COMPLIANCE_OVERRIDE_DECISIONS
Trigger DAG w/ config:
{"project": "CMSUNIV"}</t>
        </is>
      </c>
      <c r="H89" s="13" t="inlineStr">
        <is>
          <t>1. Check the precondition and run the setup SQL
2. Prepare the input: REUSE on a DLY batch (Carry_Fwd_Ind = 0) or on a closed batch
3. Run the job
4. Run the verification SQL (replace &lt;batch&gt;, &lt;table&gt;)
5. Compare with the expected result and record the outcome</t>
        </is>
      </c>
      <c r="I89" s="14" t="inlineStr">
        <is>
          <t>SELECT Ovrd_ID, Override_Ty, Btch_ID, Reuse_Btch_ID, Apprvl_Stat, Valid_Thru_Dt_Key FROM HSABC_DEV.ComplianceBatchOverride ORDER BY Ovrd_ID DESC;
SELECT Btch_ID, Src_ID, Req_Stat, Resolution_Ty, Batch_Close_Ind, Reuse_Btch_ID, Rpt_Start_Dt_Key, Rpt_End_Dt_Key
FROM HSABC_DEV.ComplianceRequestControl WHERE Btch_ID = '&lt;batch&gt;' ORDER BY Src_ID;
SELECT c.Src_ID, d.Event_Dtts, d.Event_Ty, d.Load_ID, d.Event_Txt
FROM HSABC_DEV.ComplianceRequestFileDetail d JOIN HSABC_DEV.ComplianceRequestControl c ON c.Req_ID = d.Req_ID
WHERE c.Btch_ID = '&lt;batch&gt;' ORDER BY c.Src_ID, d.Detail_ID;
SELECT Event_ID, Event_Ty, Sevrty, Src_ID, Load_ID, Event_Txt, Notified_Ind
FROM HSABC_DEV.CMS_ComplianceExceptionsAudit WHERE Btch_ID = '&lt;batch&gt;' ORDER BY Event_ID;</t>
        </is>
      </c>
      <c r="J89" s="13" t="inlineStr">
        <is>
          <t>OVERRIDE_INVALID_DETECTED with the reason; task succeeds</t>
        </is>
      </c>
      <c r="K89" s="15" t="inlineStr">
        <is>
          <t>Not Run</t>
        </is>
      </c>
      <c r="L89" s="15" t="inlineStr"/>
      <c r="M89" s="15" t="inlineStr"/>
      <c r="N89" s="15" t="inlineStr"/>
      <c r="O89" s="15" t="inlineStr"/>
      <c r="P89" s="15" t="inlineStr"/>
      <c r="Q89" s="15" t="inlineStr"/>
    </row>
    <row r="90">
      <c r="A90" s="12" t="inlineStr">
        <is>
          <t>OV-03</t>
        </is>
      </c>
      <c r="B90" s="13" t="inlineStr">
        <is>
          <t>Overrides</t>
        </is>
      </c>
      <c r="C90" s="13" t="inlineStr">
        <is>
          <t>Real file after carry-forward</t>
        </is>
      </c>
      <c r="D90" s="13" t="inlineStr">
        <is>
          <t>OV-01, then a GOOD file</t>
        </is>
      </c>
      <c r="E90" s="13" t="inlineStr">
        <is>
          <t>INSERT INTO HSABC_DEV.ComplianceBatchOverride (Override_Ty, Req_ID, Btch_ID, Reuse_Btch_ID, Apprvl_Stat, Valid_Thru_Dt_Key, Rsn_Txt, Reviewed_By)
VALUES ('&lt;type&gt;', &lt;Req_ID&gt;, '&lt;batch&gt;', '&lt;earlier batch or NULL&gt;', 'APPROVED', CURRENT_DATE + 7, 'test', '&lt;you&gt;');</t>
        </is>
      </c>
      <c r="F90" s="14" t="inlineStr"/>
      <c r="G90" s="13" t="inlineStr">
        <is>
          <t>Airflow DAG OSSTD_CORE_CMS_COMPLIANCE_FILE_LOAD
Trigger DAG w/ config:
{"project": "CMSUNIV"}</t>
        </is>
      </c>
      <c r="H90" s="13" t="inlineStr">
        <is>
          <t>1. Check the precondition
2. Prepare the input: OV-01, then a GOOD file
3. Run the job
4. Run the verification SQL (replace &lt;batch&gt;, &lt;table&gt;)
5. Compare with the expected result and record the outcome</t>
        </is>
      </c>
      <c r="I90" s="14" t="inlineStr">
        <is>
          <t>SELECT Ovrd_ID, Override_Ty, Btch_ID, Reuse_Btch_ID, Apprvl_Stat, Valid_Thru_Dt_Key FROM HSABC_DEV.ComplianceBatchOverride ORDER BY Ovrd_ID DESC;
SELECT Btch_ID, Src_ID, Req_Stat, Resolution_Ty, Batch_Close_Ind, Reuse_Btch_ID, Rpt_Start_Dt_Key, Rpt_End_Dt_Key
FROM HSABC_DEV.ComplianceRequestControl WHERE Btch_ID = '&lt;batch&gt;' ORDER BY Src_ID;
SELECT c.Src_ID, d.Event_Dtts, d.Event_Ty, d.Load_ID, d.Event_Txt
FROM HSABC_DEV.ComplianceRequestFileDetail d JOIN HSABC_DEV.ComplianceRequestControl c ON c.Req_ID = d.Req_ID
WHERE c.Btch_ID = '&lt;batch&gt;' ORDER BY c.Src_ID, d.Detail_ID;
SELECT Event_ID, Event_Ty, Sevrty, Src_ID, Load_ID, Event_Txt, Notified_Ind
FROM HSABC_DEV.CMS_ComplianceExceptionsAudit WHERE Btch_ID = '&lt;batch&gt;' ORDER BY Event_ID;</t>
        </is>
      </c>
      <c r="J90" s="13" t="inlineStr">
        <is>
          <t>File replaces the carried data; CARRY_FORWARD_REMOVED</t>
        </is>
      </c>
      <c r="K90" s="15" t="inlineStr">
        <is>
          <t>Not Run</t>
        </is>
      </c>
      <c r="L90" s="15" t="inlineStr"/>
      <c r="M90" s="15" t="inlineStr"/>
      <c r="N90" s="15" t="inlineStr"/>
      <c r="O90" s="15" t="inlineStr"/>
      <c r="P90" s="15" t="inlineStr"/>
      <c r="Q90" s="15" t="inlineStr"/>
    </row>
    <row r="91">
      <c r="A91" s="12" t="inlineStr">
        <is>
          <t>OV-04</t>
        </is>
      </c>
      <c r="B91" s="13" t="inlineStr">
        <is>
          <t>Overrides</t>
        </is>
      </c>
      <c r="C91" s="13" t="inlineStr">
        <is>
          <t>Late arrival</t>
        </is>
      </c>
      <c r="D91" s="13" t="inlineStr">
        <is>
          <t>Closed DATA_NOT_PROVIDED batch; LATE_ARRIVAL; load GOOD</t>
        </is>
      </c>
      <c r="E91" s="13" t="inlineStr">
        <is>
          <t>INSERT INTO HSABC_DEV.ComplianceBatchOverride (Override_Ty, Req_ID, Btch_ID, Reuse_Btch_ID, Apprvl_Stat, Valid_Thru_Dt_Key, Rsn_Txt, Reviewed_By)
VALUES ('&lt;type&gt;', &lt;Req_ID&gt;, '&lt;batch&gt;', '&lt;earlier batch or NULL&gt;', 'APPROVED', CURRENT_DATE + 7, 'test', '&lt;you&gt;');</t>
        </is>
      </c>
      <c r="F91" s="14" t="inlineStr">
        <is>
          <t>INSERT INTO HSABC_DEV.ComplianceBatchOverride (Override_Ty, Req_ID, Btch_ID, Apprvl_Stat, Valid_Thru_Dt_Key, Rsn_Txt, Reviewed_By)
VALUES ('LATE_ARRIVAL', &lt;Req_ID&gt;, '&lt;closed batch&gt;', 'APPROVED', CURRENT_DATE + 7, 'test', '&lt;you&gt;');</t>
        </is>
      </c>
      <c r="G91" s="13" t="inlineStr">
        <is>
          <t>Airflow DAG OSSTD_CORE_CMS_COMPLIANCE_FILE_LOAD
Trigger DAG w/ config:
{"project": "CMSUNIV"}</t>
        </is>
      </c>
      <c r="H91" s="13" t="inlineStr">
        <is>
          <t>1. Check the precondition and run the setup SQL
2. Prepare the input: Closed DATA_NOT_PROVIDED batch; LATE_ARRIVAL; load GOOD
3. Run the job
4. Run the verification SQL (replace &lt;batch&gt;, &lt;table&gt;)
5. Compare with the expected result and record the outcome</t>
        </is>
      </c>
      <c r="I91" s="14" t="inlineStr">
        <is>
          <t>SELECT Ovrd_ID, Override_Ty, Btch_ID, Reuse_Btch_ID, Apprvl_Stat, Valid_Thru_Dt_Key FROM HSABC_DEV.ComplianceBatchOverride ORDER BY Ovrd_ID DESC;
SELECT Btch_ID, Src_ID, Req_Stat, Resolution_Ty, Batch_Close_Ind, Reuse_Btch_ID, Rpt_Start_Dt_Key, Rpt_End_Dt_Key
FROM HSABC_DEV.ComplianceRequestControl WHERE Btch_ID = '&lt;batch&gt;' ORDER BY Src_ID;
SELECT c.Src_ID, d.Event_Dtts, d.Event_Ty, d.Load_ID, d.Event_Txt
FROM HSABC_DEV.ComplianceRequestFileDetail d JOIN HSABC_DEV.ComplianceRequestControl c ON c.Req_ID = d.Req_ID
WHERE c.Btch_ID = '&lt;batch&gt;' ORDER BY c.Src_ID, d.Detail_ID;
SELECT Event_ID, Event_Ty, Sevrty, Src_ID, Load_ID, Event_Txt, Notified_Ind
FROM HSABC_DEV.CMS_ComplianceExceptionsAudit WHERE Btch_ID = '&lt;batch&gt;' ORDER BY Event_ID;</t>
        </is>
      </c>
      <c r="J91" s="13" t="inlineStr">
        <is>
          <t>Loaded; batch stays closed, becomes REQUEST_COMPLETE; LATE_ARRIVAL_LOADED</t>
        </is>
      </c>
      <c r="K91" s="15" t="inlineStr">
        <is>
          <t>Not Run</t>
        </is>
      </c>
      <c r="L91" s="15" t="inlineStr"/>
      <c r="M91" s="15" t="inlineStr"/>
      <c r="N91" s="15" t="inlineStr"/>
      <c r="O91" s="15" t="inlineStr"/>
      <c r="P91" s="15" t="inlineStr"/>
      <c r="Q91" s="15" t="inlineStr"/>
    </row>
    <row r="92">
      <c r="A92" s="12" t="inlineStr">
        <is>
          <t>OV-05</t>
        </is>
      </c>
      <c r="B92" s="13" t="inlineStr">
        <is>
          <t>Overrides</t>
        </is>
      </c>
      <c r="C92" s="13" t="inlineStr">
        <is>
          <t>Correction</t>
        </is>
      </c>
      <c r="D92" s="13" t="inlineStr">
        <is>
          <t>Closed REQUEST_COMPLETE batch; CORRECTION; load GOOD</t>
        </is>
      </c>
      <c r="E92" s="13" t="inlineStr">
        <is>
          <t>INSERT INTO HSABC_DEV.ComplianceBatchOverride (Override_Ty, Req_ID, Btch_ID, Reuse_Btch_ID, Apprvl_Stat, Valid_Thru_Dt_Key, Rsn_Txt, Reviewed_By)
VALUES ('&lt;type&gt;', &lt;Req_ID&gt;, '&lt;batch&gt;', '&lt;earlier batch or NULL&gt;', 'APPROVED', CURRENT_DATE + 7, 'test', '&lt;you&gt;');</t>
        </is>
      </c>
      <c r="F92" s="14" t="inlineStr">
        <is>
          <t>INSERT INTO HSABC_DEV.ComplianceBatchOverride (Override_Ty, Req_ID, Btch_ID, Apprvl_Stat, Valid_Thru_Dt_Key, Rsn_Txt, Reviewed_By)
VALUES ('CORRECTION', &lt;Req_ID&gt;, '&lt;closed batch&gt;', 'APPROVED', CURRENT_DATE + 7, 'test', '&lt;you&gt;');</t>
        </is>
      </c>
      <c r="G92" s="13" t="inlineStr">
        <is>
          <t>Airflow DAG OSSTD_CORE_CMS_COMPLIANCE_FILE_LOAD
Trigger DAG w/ config:
{"project": "CMSUNIV"}</t>
        </is>
      </c>
      <c r="H92" s="13" t="inlineStr">
        <is>
          <t>1. Check the precondition and run the setup SQL
2. Prepare the input: Closed REQUEST_COMPLETE batch; CORRECTION; load GOOD
3. Run the job
4. Run the verification SQL (replace &lt;batch&gt;, &lt;table&gt;)
5. Compare with the expected result and record the outcome</t>
        </is>
      </c>
      <c r="I92" s="14" t="inlineStr">
        <is>
          <t>SELECT Ovrd_ID, Override_Ty, Btch_ID, Reuse_Btch_ID, Apprvl_Stat, Valid_Thru_Dt_Key FROM HSABC_DEV.ComplianceBatchOverride ORDER BY Ovrd_ID DESC;
SELECT Btch_ID, Src_ID, Req_Stat, Resolution_Ty, Batch_Close_Ind, Reuse_Btch_ID, Rpt_Start_Dt_Key, Rpt_End_Dt_Key
FROM HSABC_DEV.ComplianceRequestControl WHERE Btch_ID = '&lt;batch&gt;' ORDER BY Src_ID;
SELECT c.Src_ID, d.Event_Dtts, d.Event_Ty, d.Load_ID, d.Event_Txt
FROM HSABC_DEV.ComplianceRequestFileDetail d JOIN HSABC_DEV.ComplianceRequestControl c ON c.Req_ID = d.Req_ID
WHERE c.Btch_ID = '&lt;batch&gt;' ORDER BY c.Src_ID, d.Detail_ID;
SELECT Event_ID, Event_Ty, Sevrty, Src_ID, Load_ID, Event_Txt, Notified_Ind
FROM HSABC_DEV.CMS_ComplianceExceptionsAudit WHERE Btch_ID = '&lt;batch&gt;' ORDER BY Event_ID;</t>
        </is>
      </c>
      <c r="J92" s="13" t="inlineStr">
        <is>
          <t>Data replaced; CORRECTION_LOADED; re-exported</t>
        </is>
      </c>
      <c r="K92" s="15" t="inlineStr">
        <is>
          <t>Not Run</t>
        </is>
      </c>
      <c r="L92" s="15" t="inlineStr"/>
      <c r="M92" s="15" t="inlineStr"/>
      <c r="N92" s="15" t="inlineStr"/>
      <c r="O92" s="15" t="inlineStr"/>
      <c r="P92" s="15" t="inlineStr"/>
      <c r="Q92" s="15" t="inlineStr"/>
    </row>
    <row r="93">
      <c r="A93" s="12" t="inlineStr">
        <is>
          <t>OV-06</t>
        </is>
      </c>
      <c r="B93" s="13" t="inlineStr">
        <is>
          <t>Overrides</t>
        </is>
      </c>
      <c r="C93" s="13" t="inlineStr">
        <is>
          <t>Reopen</t>
        </is>
      </c>
      <c r="D93" s="13" t="inlineStr">
        <is>
          <t>REOPEN on a closed batch; run OVERRIDE_DECISIONS</t>
        </is>
      </c>
      <c r="E93" s="13" t="inlineStr">
        <is>
          <t>INSERT INTO HSABC_DEV.ComplianceBatchOverride (Override_Ty, Req_ID, Btch_ID, Reuse_Btch_ID, Apprvl_Stat, Valid_Thru_Dt_Key, Rsn_Txt, Reviewed_By)
VALUES ('&lt;type&gt;', &lt;Req_ID&gt;, '&lt;batch&gt;', '&lt;earlier batch or NULL&gt;', 'APPROVED', CURRENT_DATE + 7, 'test', '&lt;you&gt;');</t>
        </is>
      </c>
      <c r="F93" s="14" t="inlineStr">
        <is>
          <t>INSERT INTO HSABC_DEV.ComplianceBatchOverride (Override_Ty, Req_ID, Btch_ID, Apprvl_Stat, Valid_Thru_Dt_Key, Rsn_Txt, Reviewed_By)
VALUES ('REOPEN', &lt;Req_ID&gt;, '&lt;closed batch&gt;', 'APPROVED', CURRENT_DATE + 7, 'test', '&lt;you&gt;');</t>
        </is>
      </c>
      <c r="G93" s="13" t="inlineStr">
        <is>
          <t>Airflow DAG OSSTD_CORE_CMS_COMPLIANCE_OVERRIDE_DECISIONS
Trigger DAG w/ config:
{"project": "CMSUNIV"}</t>
        </is>
      </c>
      <c r="H93" s="13" t="inlineStr">
        <is>
          <t>1. Check the precondition and run the setup SQL
2. Prepare the input: REOPEN on a closed batch; run OVERRIDE_DECISIONS
3. Run the job
4. Run the verification SQL (replace &lt;batch&gt;, &lt;table&gt;)
5. Compare with the expected result and record the outcome</t>
        </is>
      </c>
      <c r="I93" s="14" t="inlineStr">
        <is>
          <t>SELECT Ovrd_ID, Override_Ty, Btch_ID, Reuse_Btch_ID, Apprvl_Stat, Valid_Thru_Dt_Key FROM HSABC_DEV.ComplianceBatchOverride ORDER BY Ovrd_ID DESC;
SELECT Btch_ID, Src_ID, Req_Stat, Resolution_Ty, Batch_Close_Ind, Reuse_Btch_ID, Rpt_Start_Dt_Key, Rpt_End_Dt_Key
FROM HSABC_DEV.ComplianceRequestControl WHERE Btch_ID = '&lt;batch&gt;' ORDER BY Src_ID;
SELECT c.Src_ID, d.Event_Dtts, d.Event_Ty, d.Load_ID, d.Event_Txt
FROM HSABC_DEV.ComplianceRequestFileDetail d JOIN HSABC_DEV.ComplianceRequestControl c ON c.Req_ID = d.Req_ID
WHERE c.Btch_ID = '&lt;batch&gt;' ORDER BY c.Src_ID, d.Detail_ID;
SELECT Event_ID, Event_Ty, Sevrty, Src_ID, Load_ID, Event_Txt, Notified_Ind
FROM HSABC_DEV.CMS_ComplianceExceptionsAudit WHERE Btch_ID = '&lt;batch&gt;' ORDER BY Event_ID;</t>
        </is>
      </c>
      <c r="J93" s="13" t="inlineStr">
        <is>
          <t>Batch open again; BATCH_REOPENED alert; closes again after new data</t>
        </is>
      </c>
      <c r="K93" s="15" t="inlineStr">
        <is>
          <t>Not Run</t>
        </is>
      </c>
      <c r="L93" s="15" t="inlineStr"/>
      <c r="M93" s="15" t="inlineStr"/>
      <c r="N93" s="15" t="inlineStr"/>
      <c r="O93" s="15" t="inlineStr"/>
      <c r="P93" s="15" t="inlineStr"/>
      <c r="Q93" s="15" t="inlineStr"/>
    </row>
    <row r="94">
      <c r="A94" s="12" t="inlineStr">
        <is>
          <t>OV-07</t>
        </is>
      </c>
      <c r="B94" s="13" t="inlineStr">
        <is>
          <t>Overrides</t>
        </is>
      </c>
      <c r="C94" s="13" t="inlineStr">
        <is>
          <t>Expired</t>
        </is>
      </c>
      <c r="D94" s="13" t="inlineStr">
        <is>
          <t>Valid_Thru_Dt_Key yesterday</t>
        </is>
      </c>
      <c r="E94" s="13" t="inlineStr">
        <is>
          <t>INSERT INTO HSABC_DEV.ComplianceBatchOverride (Override_Ty, Req_ID, Btch_ID, Reuse_Btch_ID, Apprvl_Stat, Valid_Thru_Dt_Key, Rsn_Txt, Reviewed_By)
VALUES ('&lt;type&gt;', &lt;Req_ID&gt;, '&lt;batch&gt;', '&lt;earlier batch or NULL&gt;', 'APPROVED', CURRENT_DATE + 7, 'test', '&lt;you&gt;');</t>
        </is>
      </c>
      <c r="F94" s="14" t="inlineStr">
        <is>
          <t>UPDATE HSABC_DEV.ComplianceBatchOverride SET Valid_Thru_Dt_Key = CURRENT_DATE - 1 WHERE Ovrd_ID = &lt;id&gt;;</t>
        </is>
      </c>
      <c r="G94" s="13" t="inlineStr">
        <is>
          <t>Airflow DAG OSSTD_CORE_CMS_COMPLIANCE_OVERRIDE_DECISIONS
Trigger DAG w/ config:
{"project": "CMSUNIV"}</t>
        </is>
      </c>
      <c r="H94" s="13" t="inlineStr">
        <is>
          <t>1. Check the precondition and run the setup SQL
2. Prepare the input: Valid_Thru_Dt_Key yesterday
3. Run the job
4. Run the verification SQL (replace &lt;batch&gt;, &lt;table&gt;)
5. Compare with the expected result and record the outcome</t>
        </is>
      </c>
      <c r="I94" s="14" t="inlineStr">
        <is>
          <t>SELECT Ovrd_ID, Override_Ty, Btch_ID, Reuse_Btch_ID, Apprvl_Stat, Valid_Thru_Dt_Key FROM HSABC_DEV.ComplianceBatchOverride ORDER BY Ovrd_ID DESC;
SELECT Btch_ID, Src_ID, Req_Stat, Resolution_Ty, Batch_Close_Ind, Reuse_Btch_ID, Rpt_Start_Dt_Key, Rpt_End_Dt_Key
FROM HSABC_DEV.ComplianceRequestControl WHERE Btch_ID = '&lt;batch&gt;' ORDER BY Src_ID;
SELECT c.Src_ID, d.Event_Dtts, d.Event_Ty, d.Load_ID, d.Event_Txt
FROM HSABC_DEV.ComplianceRequestFileDetail d JOIN HSABC_DEV.ComplianceRequestControl c ON c.Req_ID = d.Req_ID
WHERE c.Btch_ID = '&lt;batch&gt;' ORDER BY c.Src_ID, d.Detail_ID;
SELECT Event_ID, Event_Ty, Sevrty, Src_ID, Load_ID, Event_Txt, Notified_Ind
FROM HSABC_DEV.CMS_ComplianceExceptionsAudit WHERE Btch_ID = '&lt;batch&gt;' ORDER BY Event_ID;</t>
        </is>
      </c>
      <c r="J94" s="13" t="inlineStr">
        <is>
          <t>Not used; OVERRIDE_EXPIRED</t>
        </is>
      </c>
      <c r="K94" s="15" t="inlineStr">
        <is>
          <t>Not Run</t>
        </is>
      </c>
      <c r="L94" s="15" t="inlineStr"/>
      <c r="M94" s="15" t="inlineStr"/>
      <c r="N94" s="15" t="inlineStr"/>
      <c r="O94" s="15" t="inlineStr"/>
      <c r="P94" s="15" t="inlineStr"/>
      <c r="Q94" s="15" t="inlineStr"/>
    </row>
    <row r="95">
      <c r="A95" s="12" t="inlineStr">
        <is>
          <t>OV-08</t>
        </is>
      </c>
      <c r="B95" s="13" t="inlineStr">
        <is>
          <t>Overrides</t>
        </is>
      </c>
      <c r="C95" s="13" t="inlineStr">
        <is>
          <t>Not approved</t>
        </is>
      </c>
      <c r="D95" s="13" t="inlineStr">
        <is>
          <t>Apprvl_Stat = PENDING_REVIEW</t>
        </is>
      </c>
      <c r="E95" s="13" t="inlineStr">
        <is>
          <t>INSERT INTO HSABC_DEV.ComplianceBatchOverride (Override_Ty, Req_ID, Btch_ID, Reuse_Btch_ID, Apprvl_Stat, Valid_Thru_Dt_Key, Rsn_Txt, Reviewed_By)
VALUES ('&lt;type&gt;', &lt;Req_ID&gt;, '&lt;batch&gt;', '&lt;earlier batch or NULL&gt;', 'APPROVED', CURRENT_DATE + 7, 'test', '&lt;you&gt;');</t>
        </is>
      </c>
      <c r="F95" s="14" t="inlineStr">
        <is>
          <t>UPDATE HSABC_DEV.ComplianceBatchOverride SET Apprvl_Stat = 'PENDING_REVIEW' WHERE Ovrd_ID = &lt;id&gt;;</t>
        </is>
      </c>
      <c r="G95" s="13" t="inlineStr">
        <is>
          <t>Airflow DAG OSSTD_CORE_CMS_COMPLIANCE_OVERRIDE_DECISIONS
Trigger DAG w/ config:
{"project": "CMSUNIV"}</t>
        </is>
      </c>
      <c r="H95" s="13" t="inlineStr">
        <is>
          <t>1. Check the precondition and run the setup SQL
2. Prepare the input: Apprvl_Stat = PENDING_REVIEW
3. Run the job
4. Run the verification SQL (replace &lt;batch&gt;, &lt;table&gt;)
5. Compare with the expected result and record the outcome</t>
        </is>
      </c>
      <c r="I95" s="14" t="inlineStr">
        <is>
          <t>SELECT Ovrd_ID, Override_Ty, Btch_ID, Reuse_Btch_ID, Apprvl_Stat, Valid_Thru_Dt_Key FROM HSABC_DEV.ComplianceBatchOverride ORDER BY Ovrd_ID DESC;
SELECT Btch_ID, Src_ID, Req_Stat, Resolution_Ty, Batch_Close_Ind, Reuse_Btch_ID, Rpt_Start_Dt_Key, Rpt_End_Dt_Key
FROM HSABC_DEV.ComplianceRequestControl WHERE Btch_ID = '&lt;batch&gt;' ORDER BY Src_ID;
SELECT c.Src_ID, d.Event_Dtts, d.Event_Ty, d.Load_ID, d.Event_Txt
FROM HSABC_DEV.ComplianceRequestFileDetail d JOIN HSABC_DEV.ComplianceRequestControl c ON c.Req_ID = d.Req_ID
WHERE c.Btch_ID = '&lt;batch&gt;' ORDER BY c.Src_ID, d.Detail_ID;
SELECT Event_ID, Event_Ty, Sevrty, Src_ID, Load_ID, Event_Txt, Notified_Ind
FROM HSABC_DEV.CMS_ComplianceExceptionsAudit WHERE Btch_ID = '&lt;batch&gt;' ORDER BY Event_ID;</t>
        </is>
      </c>
      <c r="J95" s="13" t="inlineStr">
        <is>
          <t>Ignored</t>
        </is>
      </c>
      <c r="K95" s="15" t="inlineStr">
        <is>
          <t>Not Run</t>
        </is>
      </c>
      <c r="L95" s="15" t="inlineStr"/>
      <c r="M95" s="15" t="inlineStr"/>
      <c r="N95" s="15" t="inlineStr"/>
      <c r="O95" s="15" t="inlineStr"/>
      <c r="P95" s="15" t="inlineStr"/>
      <c r="Q95" s="15" t="inlineStr"/>
    </row>
    <row r="96">
      <c r="A96" s="12" t="inlineStr">
        <is>
          <t>EX-01</t>
        </is>
      </c>
      <c r="B96" s="13" t="inlineStr">
        <is>
          <t>Export load and extract</t>
        </is>
      </c>
      <c r="C96" s="13" t="inlineStr">
        <is>
          <t>Not due yet</t>
        </is>
      </c>
      <c r="D96" s="13" t="inlineStr">
        <is>
          <t>Open WKLY batch before its close date</t>
        </is>
      </c>
      <c r="E96" s="13" t="inlineStr">
        <is>
          <t>Trigger EXPORT_LOAD. Check Q8, the report (batches: status, data_from, rows), timeline EXPORT_LOADED, the export
feed views (extract).</t>
        </is>
      </c>
      <c r="F96" s="14" t="inlineStr"/>
      <c r="G96" s="13" t="inlineStr">
        <is>
          <t>Airflow DAG OSSTD_CORE_CMS_COMPLIANCE_EXPORT_LOAD
Trigger DAG w/ config:
{"project": "CMSUNIV"}</t>
        </is>
      </c>
      <c r="H96" s="13" t="inlineStr">
        <is>
          <t>1. Check the precondition
2. Prepare the input: Open WKLY batch before its close date
3. Run the job
4. Run the verification SQL (replace &lt;batch&gt;, &lt;table&gt;)
5. Compare with the expected result and record the outcome</t>
        </is>
      </c>
      <c r="I96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96" s="13" t="inlineStr">
        <is>
          <t>Not exported (or listed held); report NO BATCHES TO EXPORT</t>
        </is>
      </c>
      <c r="K96" s="15" t="inlineStr">
        <is>
          <t>Not Run</t>
        </is>
      </c>
      <c r="L96" s="15" t="inlineStr"/>
      <c r="M96" s="15" t="inlineStr"/>
      <c r="N96" s="15" t="inlineStr"/>
      <c r="O96" s="15" t="inlineStr"/>
      <c r="P96" s="15" t="inlineStr"/>
      <c r="Q96" s="15" t="inlineStr"/>
    </row>
    <row r="97">
      <c r="A97" s="12" t="inlineStr">
        <is>
          <t>EX-02</t>
        </is>
      </c>
      <c r="B97" s="13" t="inlineStr">
        <is>
          <t>Export load and extract</t>
        </is>
      </c>
      <c r="C97" s="13" t="inlineStr">
        <is>
          <t>Due on close date</t>
        </is>
      </c>
      <c r="D97" s="13" t="inlineStr">
        <is>
          <t>DLY batch with data (SLA 1)</t>
        </is>
      </c>
      <c r="E97" s="13" t="inlineStr">
        <is>
          <t>Trigger EXPORT_LOAD. Check Q8, the report (batches: status, data_from, rows), timeline EXPORT_LOADED, the export
feed views (extract).</t>
        </is>
      </c>
      <c r="F97" s="14" t="inlineStr"/>
      <c r="G97" s="13" t="inlineStr">
        <is>
          <t>Airflow DAG OSSTD_CORE_CMS_COMPLIANCE_EXPORT_LOAD
Trigger DAG w/ config:
{"project": "CMSUNIV"}</t>
        </is>
      </c>
      <c r="H97" s="13" t="inlineStr">
        <is>
          <t>1. Check the precondition
2. Prepare the input: DLY batch with data (SLA 1)
3. Run the job
4. Run the verification SQL (replace &lt;batch&gt;, &lt;table&gt;)
5. Compare with the expected result and record the outcome</t>
        </is>
      </c>
      <c r="I97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97" s="13" t="inlineStr">
        <is>
          <t>Exported the same day; EXPORT_LOADED; Q8 rows = core rows; Exp_Btch_ID = batch</t>
        </is>
      </c>
      <c r="K97" s="15" t="inlineStr">
        <is>
          <t>Not Run</t>
        </is>
      </c>
      <c r="L97" s="15" t="inlineStr"/>
      <c r="M97" s="15" t="inlineStr"/>
      <c r="N97" s="15" t="inlineStr"/>
      <c r="O97" s="15" t="inlineStr"/>
      <c r="P97" s="15" t="inlineStr"/>
      <c r="Q97" s="15" t="inlineStr"/>
    </row>
    <row r="98">
      <c r="A98" s="12" t="inlineStr">
        <is>
          <t>EX-03</t>
        </is>
      </c>
      <c r="B98" s="13" t="inlineStr">
        <is>
          <t>Export load and extract</t>
        </is>
      </c>
      <c r="C98" s="13" t="inlineStr">
        <is>
          <t>Procedure mode</t>
        </is>
      </c>
      <c r="D98" s="13" t="inlineStr">
        <is>
          <t>CMSUNIV procedure configured</t>
        </is>
      </c>
      <c r="E98" s="13" t="inlineStr">
        <is>
          <t>Trigger EXPORT_LOAD. Check Q8, the report (batches: status, data_from, rows), timeline EXPORT_LOADED, the export
feed views (extract).</t>
        </is>
      </c>
      <c r="F98" s="14" t="inlineStr"/>
      <c r="G98" s="13" t="inlineStr">
        <is>
          <t>Airflow DAG OSSTD_CORE_CMS_COMPLIANCE_EXPORT_LOAD
Trigger DAG w/ config:
{"project": "CMSUNIV"}</t>
        </is>
      </c>
      <c r="H98" s="13" t="inlineStr">
        <is>
          <t>1. Check the precondition
2. Prepare the input: CMSUNIV procedure configured
3. Run the job
4. Run the verification SQL (replace &lt;batch&gt;, &lt;table&gt;)
5. Compare with the expected result and record the outcome</t>
        </is>
      </c>
      <c r="I98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98" s="13" t="inlineStr">
        <is>
          <t>Log procedure CMSUNIV_EXPORT_DEV_T.SP_EXPORT_… with parameters; rows stamped Btch_ID / Exp_Btch_ID</t>
        </is>
      </c>
      <c r="K98" s="15" t="inlineStr">
        <is>
          <t>Not Run</t>
        </is>
      </c>
      <c r="L98" s="15" t="inlineStr"/>
      <c r="M98" s="15" t="inlineStr"/>
      <c r="N98" s="15" t="inlineStr"/>
      <c r="O98" s="15" t="inlineStr"/>
      <c r="P98" s="15" t="inlineStr"/>
      <c r="Q98" s="15" t="inlineStr"/>
    </row>
    <row r="99">
      <c r="A99" s="12" t="inlineStr">
        <is>
          <t>EX-04</t>
        </is>
      </c>
      <c r="B99" s="13" t="inlineStr">
        <is>
          <t>Export load and extract</t>
        </is>
      </c>
      <c r="C99" s="13" t="inlineStr">
        <is>
          <t>All sources</t>
        </is>
      </c>
      <c r="D99" s="13" t="inlineStr">
        <is>
          <t>Batch with several sources</t>
        </is>
      </c>
      <c r="E99" s="13" t="inlineStr">
        <is>
          <t>Trigger EXPORT_LOAD. Check Q8, the report (batches: status, data_from, rows), timeline EXPORT_LOADED, the export
feed views (extract).</t>
        </is>
      </c>
      <c r="F99" s="14" t="inlineStr"/>
      <c r="G99" s="13" t="inlineStr">
        <is>
          <t>Airflow DAG OSSTD_CORE_CMS_COMPLIANCE_EXPORT_LOAD
Trigger DAG w/ config:
{"project": "CMSUNIV"}</t>
        </is>
      </c>
      <c r="H99" s="13" t="inlineStr">
        <is>
          <t>1. Check the precondition
2. Prepare the input: Batch with several sources
3. Run the job
4. Run the verification SQL (replace &lt;batch&gt;, &lt;table&gt;)
5. Compare with the expected result and record the outcome</t>
        </is>
      </c>
      <c r="I99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99" s="13" t="inlineStr">
        <is>
          <t>Each source exported; one EXPORT_LOADED per source row</t>
        </is>
      </c>
      <c r="K99" s="15" t="inlineStr">
        <is>
          <t>Not Run</t>
        </is>
      </c>
      <c r="L99" s="15" t="inlineStr"/>
      <c r="M99" s="15" t="inlineStr"/>
      <c r="N99" s="15" t="inlineStr"/>
      <c r="O99" s="15" t="inlineStr"/>
      <c r="P99" s="15" t="inlineStr"/>
      <c r="Q99" s="15" t="inlineStr"/>
    </row>
    <row r="100">
      <c r="A100" s="12" t="inlineStr">
        <is>
          <t>EX-05</t>
        </is>
      </c>
      <c r="B100" s="13" t="inlineStr">
        <is>
          <t>Export load and extract</t>
        </is>
      </c>
      <c r="C100" s="13" t="inlineStr">
        <is>
          <t>Re-export replaces</t>
        </is>
      </c>
      <c r="D100" s="13" t="inlineStr">
        <is>
          <t>Reload a file (FL-08), export again</t>
        </is>
      </c>
      <c r="E100" s="13" t="inlineStr">
        <is>
          <t>Trigger EXPORT_LOAD. Check Q8, the report (batches: status, data_from, rows), timeline EXPORT_LOADED, the export
feed views (extract).</t>
        </is>
      </c>
      <c r="F100" s="14" t="inlineStr"/>
      <c r="G100" s="13" t="inlineStr">
        <is>
          <t>Airflow DAG OSSTD_CORE_CMS_COMPLIANCE_EXPORT_LOAD
Trigger DAG w/ config:
{"project": "CMSUNIV"}</t>
        </is>
      </c>
      <c r="H100" s="13" t="inlineStr">
        <is>
          <t>1. Check the precondition
2. Prepare the input: Reload a file (FL-08), export again
3. Run the job
4. Run the verification SQL (replace &lt;batch&gt;, &lt;table&gt;)
5. Compare with the expected result and record the outcome</t>
        </is>
      </c>
      <c r="I100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00" s="13" t="inlineStr">
        <is>
          <t>Old rows of that source removed, new inserted; no duplicates</t>
        </is>
      </c>
      <c r="K100" s="15" t="inlineStr">
        <is>
          <t>Not Run</t>
        </is>
      </c>
      <c r="L100" s="15" t="inlineStr"/>
      <c r="M100" s="15" t="inlineStr"/>
      <c r="N100" s="15" t="inlineStr"/>
      <c r="O100" s="15" t="inlineStr"/>
      <c r="P100" s="15" t="inlineStr"/>
      <c r="Q100" s="15" t="inlineStr"/>
    </row>
    <row r="101">
      <c r="A101" s="12" t="inlineStr">
        <is>
          <t>EX-06</t>
        </is>
      </c>
      <c r="B101" s="13" t="inlineStr">
        <is>
          <t>Export load and extract</t>
        </is>
      </c>
      <c r="C101" s="13" t="inlineStr">
        <is>
          <t>Only changed batches</t>
        </is>
      </c>
      <c r="D101" s="13" t="inlineStr">
        <is>
          <t>Rerun EXPORT_LOAD without changes</t>
        </is>
      </c>
      <c r="E101" s="13" t="inlineStr">
        <is>
          <t>Trigger EXPORT_LOAD. Check Q8, the report (batches: status, data_from, rows), timeline EXPORT_LOADED, the export
feed views (extract).</t>
        </is>
      </c>
      <c r="F101" s="14" t="inlineStr"/>
      <c r="G101" s="13" t="inlineStr">
        <is>
          <t>Airflow DAG OSSTD_CORE_CMS_COMPLIANCE_EXPORT_LOAD
Trigger DAG w/ config:
{"project": "CMSUNIV"}</t>
        </is>
      </c>
      <c r="H101" s="13" t="inlineStr">
        <is>
          <t>1. Check the precondition
2. Prepare the input: Rerun EXPORT_LOAD without changes
3. Run the job
4. Run the verification SQL (replace &lt;batch&gt;, &lt;table&gt;)
5. Compare with the expected result and record the outcome</t>
        </is>
      </c>
      <c r="I101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01" s="13" t="inlineStr">
        <is>
          <t>Nothing exported again</t>
        </is>
      </c>
      <c r="K101" s="15" t="inlineStr">
        <is>
          <t>Not Run</t>
        </is>
      </c>
      <c r="L101" s="15" t="inlineStr"/>
      <c r="M101" s="15" t="inlineStr"/>
      <c r="N101" s="15" t="inlineStr"/>
      <c r="O101" s="15" t="inlineStr"/>
      <c r="P101" s="15" t="inlineStr"/>
      <c r="Q101" s="15" t="inlineStr"/>
    </row>
    <row r="102">
      <c r="A102" s="12" t="inlineStr">
        <is>
          <t>EX-07</t>
        </is>
      </c>
      <c r="B102" s="13" t="inlineStr">
        <is>
          <t>Export load and extract</t>
        </is>
      </c>
      <c r="C102" s="13" t="inlineStr">
        <is>
          <t>Newest batch of the period</t>
        </is>
      </c>
      <c r="D102" s="13" t="inlineStr">
        <is>
          <t>Two batches same dates; later one MISSING</t>
        </is>
      </c>
      <c r="E102" s="13" t="inlineStr">
        <is>
          <t>Trigger EXPORT_LOAD. Check Q8, the report (batches: status, data_from, rows), timeline EXPORT_LOADED, the export
feed views (extract).</t>
        </is>
      </c>
      <c r="F102" s="14" t="inlineStr"/>
      <c r="G102" s="13" t="inlineStr">
        <is>
          <t>Airflow DAG OSSTD_CORE_CMS_COMPLIANCE_EXPORT_LOAD
Trigger DAG w/ config:
{"project": "CMSUNIV"}</t>
        </is>
      </c>
      <c r="H102" s="13" t="inlineStr">
        <is>
          <t>1. Check the precondition
2. Prepare the input: Two batches same dates; later one MISSING
3. Run the job
4. Run the verification SQL (replace &lt;batch&gt;, &lt;table&gt;)
5. Compare with the expected result and record the outcome</t>
        </is>
      </c>
      <c r="I102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02" s="13" t="inlineStr">
        <is>
          <t>The later one SKIPPED ("the period's data is batch …"); data of the earlier one kept</t>
        </is>
      </c>
      <c r="K102" s="15" t="inlineStr">
        <is>
          <t>Not Run</t>
        </is>
      </c>
      <c r="L102" s="15" t="inlineStr"/>
      <c r="M102" s="15" t="inlineStr"/>
      <c r="N102" s="15" t="inlineStr"/>
      <c r="O102" s="15" t="inlineStr"/>
      <c r="P102" s="15" t="inlineStr"/>
      <c r="Q102" s="15" t="inlineStr"/>
    </row>
    <row r="103">
      <c r="A103" s="12" t="inlineStr">
        <is>
          <t>EX-08</t>
        </is>
      </c>
      <c r="B103" s="13" t="inlineStr">
        <is>
          <t>Export load and extract</t>
        </is>
      </c>
      <c r="C103" s="13" t="inlineStr">
        <is>
          <t>No data batch</t>
        </is>
      </c>
      <c r="D103" s="13" t="inlineStr">
        <is>
          <t>NO_DATA batch</t>
        </is>
      </c>
      <c r="E103" s="13" t="inlineStr">
        <is>
          <t>Trigger EXPORT_LOAD. Check Q8, the report (batches: status, data_from, rows), timeline EXPORT_LOADED, the export
feed views (extract).</t>
        </is>
      </c>
      <c r="F103" s="14" t="inlineStr"/>
      <c r="G103" s="13" t="inlineStr">
        <is>
          <t>Airflow DAG OSSTD_CORE_CMS_COMPLIANCE_EXPORT_LOAD
Trigger DAG w/ config:
{"project": "CMSUNIV"}</t>
        </is>
      </c>
      <c r="H103" s="13" t="inlineStr">
        <is>
          <t>1. Check the precondition
2. Prepare the input: NO_DATA batch
3. Run the job
4. Run the verification SQL (replace &lt;batch&gt;, &lt;table&gt;)
5. Compare with the expected result and record the outcome</t>
        </is>
      </c>
      <c r="I103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03" s="13" t="inlineStr">
        <is>
          <t>Earlier export rows of the period removed, nothing inserted</t>
        </is>
      </c>
      <c r="K103" s="15" t="inlineStr">
        <is>
          <t>Not Run</t>
        </is>
      </c>
      <c r="L103" s="15" t="inlineStr"/>
      <c r="M103" s="15" t="inlineStr"/>
      <c r="N103" s="15" t="inlineStr"/>
      <c r="O103" s="15" t="inlineStr"/>
      <c r="P103" s="15" t="inlineStr"/>
      <c r="Q103" s="15" t="inlineStr"/>
    </row>
    <row r="104">
      <c r="A104" s="12" t="inlineStr">
        <is>
          <t>EX-09</t>
        </is>
      </c>
      <c r="B104" s="13" t="inlineStr">
        <is>
          <t>Export load and extract</t>
        </is>
      </c>
      <c r="C104" s="13" t="inlineStr">
        <is>
          <t>Carry-forward copy</t>
        </is>
      </c>
      <c r="D104" s="13" t="inlineStr">
        <is>
          <t>OV-01 batch</t>
        </is>
      </c>
      <c r="E104" s="13" t="inlineStr">
        <is>
          <t>Trigger EXPORT_LOAD. Check Q8, the report (batches: status, data_from, rows), timeline EXPORT_LOADED, the export
feed views (extract).</t>
        </is>
      </c>
      <c r="F104" s="14" t="inlineStr"/>
      <c r="G104" s="13" t="inlineStr">
        <is>
          <t>Airflow DAG OSSTD_CORE_CMS_COMPLIANCE_EXPORT_LOAD
Trigger DAG w/ config:
{"project": "CMSUNIV"}</t>
        </is>
      </c>
      <c r="H104" s="13" t="inlineStr">
        <is>
          <t>1. Check the precondition
2. Prepare the input: OV-01 batch
3. Run the job
4. Run the verification SQL (replace &lt;batch&gt;, &lt;table&gt;)
5. Compare with the expected result and record the outcome</t>
        </is>
      </c>
      <c r="I104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04" s="13" t="inlineStr">
        <is>
          <t>data_from = reused batch; rows inserted under the new batch ID; reused batch's rows kept</t>
        </is>
      </c>
      <c r="K104" s="15" t="inlineStr">
        <is>
          <t>Not Run</t>
        </is>
      </c>
      <c r="L104" s="15" t="inlineStr"/>
      <c r="M104" s="15" t="inlineStr"/>
      <c r="N104" s="15" t="inlineStr"/>
      <c r="O104" s="15" t="inlineStr"/>
      <c r="P104" s="15" t="inlineStr"/>
      <c r="Q104" s="15" t="inlineStr"/>
    </row>
    <row r="105">
      <c r="A105" s="12" t="inlineStr">
        <is>
          <t>EX-10</t>
        </is>
      </c>
      <c r="B105" s="13" t="inlineStr">
        <is>
          <t>Export load and extract</t>
        </is>
      </c>
      <c r="C105" s="13" t="inlineStr">
        <is>
          <t>Ad hoc only when released</t>
        </is>
      </c>
      <c r="D105" s="13" t="inlineStr">
        <is>
          <t>CMS batch</t>
        </is>
      </c>
      <c r="E105" s="13" t="inlineStr">
        <is>
          <t>Trigger EXPORT_LOAD. Check Q8, the report (batches: status, data_from, rows), timeline EXPORT_LOADED, the export
feed views (extract).</t>
        </is>
      </c>
      <c r="F105" s="14" t="inlineStr"/>
      <c r="G105" s="13" t="inlineStr">
        <is>
          <t>Airflow DAG OSSTD_CORE_CMS_COMPLIANCE_EXPORT_LOAD
Trigger DAG w/ config:
{"project": "CMSUNIV", "run_type": "CMS", "release": "true"}</t>
        </is>
      </c>
      <c r="H105" s="13" t="inlineStr">
        <is>
          <t>1. Check the precondition
2. Prepare the input: CMS batch
3. Run the job
4. Run the verification SQL (replace &lt;batch&gt;, &lt;table&gt;)
5. Compare with the expected result and record the outcome</t>
        </is>
      </c>
      <c r="I105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05" s="13" t="inlineStr">
        <is>
          <t>Held; with release: true exported</t>
        </is>
      </c>
      <c r="K105" s="15" t="inlineStr">
        <is>
          <t>Not Run</t>
        </is>
      </c>
      <c r="L105" s="15" t="inlineStr"/>
      <c r="M105" s="15" t="inlineStr"/>
      <c r="N105" s="15" t="inlineStr"/>
      <c r="O105" s="15" t="inlineStr"/>
      <c r="P105" s="15" t="inlineStr"/>
      <c r="Q105" s="15" t="inlineStr"/>
    </row>
    <row r="106">
      <c r="A106" s="12" t="inlineStr">
        <is>
          <t>EX-11</t>
        </is>
      </c>
      <c r="B106" s="13" t="inlineStr">
        <is>
          <t>Export load and extract</t>
        </is>
      </c>
      <c r="C106" s="13" t="inlineStr">
        <is>
          <t>Hold</t>
        </is>
      </c>
      <c r="D106" s="13" t="inlineStr">
        <is>
          <t>Run the job with the trigger config shown in Job to Execute</t>
        </is>
      </c>
      <c r="E106" s="13" t="inlineStr">
        <is>
          <t>Trigger EXPORT_LOAD. Check Q8, the report (batches: status, data_from, rows), timeline EXPORT_LOADED, the export
feed views (extract).</t>
        </is>
      </c>
      <c r="F106" s="14" t="inlineStr"/>
      <c r="G106" s="13" t="inlineStr">
        <is>
          <t>Airflow DAG OSSTD_CORE_CMS_COMPLIANCE_EXPORT_LOAD
Trigger DAG w/ config:
{"project": "CMSUNIV", "hold": "WKLY"}</t>
        </is>
      </c>
      <c r="H106" s="13" t="inlineStr">
        <is>
          <t>1. Check the precondition
2. No input to prepare
3. Run the job
4. Run the verification SQL (replace &lt;batch&gt;, &lt;table&gt;)
5. Compare with the expected result and record the outcome</t>
        </is>
      </c>
      <c r="I106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06" s="13" t="inlineStr">
        <is>
          <t>WKLY batches held</t>
        </is>
      </c>
      <c r="K106" s="15" t="inlineStr">
        <is>
          <t>Not Run</t>
        </is>
      </c>
      <c r="L106" s="15" t="inlineStr"/>
      <c r="M106" s="15" t="inlineStr"/>
      <c r="N106" s="15" t="inlineStr"/>
      <c r="O106" s="15" t="inlineStr"/>
      <c r="P106" s="15" t="inlineStr"/>
      <c r="Q106" s="15" t="inlineStr"/>
    </row>
    <row r="107">
      <c r="A107" s="12" t="inlineStr">
        <is>
          <t>EX-12</t>
        </is>
      </c>
      <c r="B107" s="13" t="inlineStr">
        <is>
          <t>Export load and extract</t>
        </is>
      </c>
      <c r="C107" s="13" t="inlineStr">
        <is>
          <t>Release time</t>
        </is>
      </c>
      <c r="D107" s="13" t="inlineStr">
        <is>
          <t>"settings":{"RELEASE_TIME":"20:00"}</t>
        </is>
      </c>
      <c r="E107" s="13" t="inlineStr">
        <is>
          <t>Trigger EXPORT_LOAD. Check Q8, the report (batches: status, data_from, rows), timeline EXPORT_LOADED, the export
feed views (extract).</t>
        </is>
      </c>
      <c r="F107" s="14" t="inlineStr"/>
      <c r="G107" s="13" t="inlineStr">
        <is>
          <t>Airflow DAG OSSTD_CORE_CMS_COMPLIANCE_EXPORT_LOAD
Trigger DAG w/ config:
{"project": "CMSUNIV", "settings": {"RELEASE_TIME": "20:00"}}</t>
        </is>
      </c>
      <c r="H107" s="13" t="inlineStr">
        <is>
          <t>1. Check the precondition
2. Prepare the input: "settings":{"RELEASE_TIME":"20:00"}
3. Run the job
4. Run the verification SQL (replace &lt;batch&gt;, &lt;table&gt;)
5. Compare with the expected result and record the outcome</t>
        </is>
      </c>
      <c r="I107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07" s="13" t="inlineStr">
        <is>
          <t>Due batches exported only from 20:00 on the close date</t>
        </is>
      </c>
      <c r="K107" s="15" t="inlineStr">
        <is>
          <t>Not Run</t>
        </is>
      </c>
      <c r="L107" s="15" t="inlineStr"/>
      <c r="M107" s="15" t="inlineStr"/>
      <c r="N107" s="15" t="inlineStr"/>
      <c r="O107" s="15" t="inlineStr"/>
      <c r="P107" s="15" t="inlineStr"/>
      <c r="Q107" s="15" t="inlineStr"/>
    </row>
    <row r="108">
      <c r="A108" s="12" t="inlineStr">
        <is>
          <t>EX-13</t>
        </is>
      </c>
      <c r="B108" s="13" t="inlineStr">
        <is>
          <t>Export load and extract</t>
        </is>
      </c>
      <c r="C108" s="13" t="inlineStr">
        <is>
          <t>Named batch</t>
        </is>
      </c>
      <c r="D108" s="13" t="inlineStr">
        <is>
          <t>Run the job with the trigger config shown in Job to Execute</t>
        </is>
      </c>
      <c r="E108" s="13" t="inlineStr">
        <is>
          <t>Trigger EXPORT_LOAD. Check Q8, the report (batches: status, data_from, rows), timeline EXPORT_LOADED, the export
feed views (extract).</t>
        </is>
      </c>
      <c r="F108" s="14" t="inlineStr"/>
      <c r="G108" s="13" t="inlineStr">
        <is>
          <t>Airflow DAG OSSTD_CORE_CMS_COMPLIANCE_EXPORT_LOAD
Trigger DAG w/ config:
{"project": "CMSUNIV", "batch": "&lt;batch&gt;"}</t>
        </is>
      </c>
      <c r="H108" s="13" t="inlineStr">
        <is>
          <t>1. Check the precondition
2. No input to prepare
3. Run the job
4. Run the verification SQL (replace &lt;batch&gt;, &lt;table&gt;)
5. Compare with the expected result and record the outcome</t>
        </is>
      </c>
      <c r="I108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08" s="13" t="inlineStr">
        <is>
          <t>Only that batch, even if exported before</t>
        </is>
      </c>
      <c r="K108" s="15" t="inlineStr">
        <is>
          <t>Not Run</t>
        </is>
      </c>
      <c r="L108" s="15" t="inlineStr"/>
      <c r="M108" s="15" t="inlineStr"/>
      <c r="N108" s="15" t="inlineStr"/>
      <c r="O108" s="15" t="inlineStr"/>
      <c r="P108" s="15" t="inlineStr"/>
      <c r="Q108" s="15" t="inlineStr"/>
    </row>
    <row r="109">
      <c r="A109" s="12" t="inlineStr">
        <is>
          <t>EX-14</t>
        </is>
      </c>
      <c r="B109" s="13" t="inlineStr">
        <is>
          <t>Export load and extract</t>
        </is>
      </c>
      <c r="C109" s="13" t="inlineStr">
        <is>
          <t>Copy mode</t>
        </is>
      </c>
      <c r="D109" s="13" t="inlineStr">
        <is>
          <t>Remove Exp_Proc_Nm on a test table</t>
        </is>
      </c>
      <c r="E109" s="13" t="inlineStr">
        <is>
          <t>Trigger EXPORT_LOAD. Check Q8, the report (batches: status, data_from, rows), timeline EXPORT_LOADED, the export
feed views (extract).</t>
        </is>
      </c>
      <c r="F109" s="14" t="inlineStr">
        <is>
          <t>UPDATE HSABC_DEV.ComplianceExportConfig SET Exp_Proc_Nm = NULL WHERE Project_Cd = 'CMSUNIV' AND Table_Nm = '&lt;test table&gt;';
-- revert after: restore Exp_Proc_Nm</t>
        </is>
      </c>
      <c r="G109" s="13" t="inlineStr">
        <is>
          <t>Airflow DAG OSSTD_CORE_CMS_COMPLIANCE_EXPORT_LOAD
Trigger DAG w/ config:
{"project": "CMSUNIV"}</t>
        </is>
      </c>
      <c r="H109" s="13" t="inlineStr">
        <is>
          <t>1. Check the precondition and run the setup SQL
2. Prepare the input: Remove Exp_Proc_Nm on a test table
3. Run the job
4. Run the verification SQL (replace &lt;batch&gt;, &lt;table&gt;)
5. Compare with the expected result and record the outcome
6. Revert the setup change</t>
        </is>
      </c>
      <c r="I109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09" s="13" t="inlineStr">
        <is>
          <t>Same-name core columns copied; Exp_Btch_ID filled; validate warns about export columns missing in core</t>
        </is>
      </c>
      <c r="K109" s="15" t="inlineStr">
        <is>
          <t>Not Run</t>
        </is>
      </c>
      <c r="L109" s="15" t="inlineStr"/>
      <c r="M109" s="15" t="inlineStr"/>
      <c r="N109" s="15" t="inlineStr"/>
      <c r="O109" s="15" t="inlineStr"/>
      <c r="P109" s="15" t="inlineStr"/>
      <c r="Q109" s="15" t="inlineStr"/>
    </row>
    <row r="110">
      <c r="A110" s="12" t="inlineStr">
        <is>
          <t>EX-15</t>
        </is>
      </c>
      <c r="B110" s="13" t="inlineStr">
        <is>
          <t>Export load and extract</t>
        </is>
      </c>
      <c r="C110" s="13" t="inlineStr">
        <is>
          <t>Custom SELECT</t>
        </is>
      </c>
      <c r="D110" s="13" t="inlineStr">
        <is>
          <t>Exp_Sql_Txt reading core with {data_btch_id} / {src_id} and aliases</t>
        </is>
      </c>
      <c r="E110" s="13" t="inlineStr">
        <is>
          <t>Trigger EXPORT_LOAD. Check Q8, the report (batches: status, data_from, rows), timeline EXPORT_LOADED, the export
feed views (extract).</t>
        </is>
      </c>
      <c r="F110" s="14" t="inlineStr">
        <is>
          <t>UPDATE HSABC_DEV.ComplianceExportConfig SET Exp_Proc_Nm = NULL,
  Exp_Sql_Txt = 'SELECT &lt;core columns&gt; AS &lt;export columns&gt; FROM CMSUNIV_CORE_DEV_T.&lt;core table&gt; WHERE Btch_ID = {data_btch_id} AND Src_Data_Key = CAST({src_id} AS SMALLINT)'
WHERE Project_Cd = 'CMSUNIV' AND Table_Nm = '&lt;test table&gt;';</t>
        </is>
      </c>
      <c r="G110" s="13" t="inlineStr">
        <is>
          <t>Airflow DAG OSSTD_CORE_CMS_COMPLIANCE_EXPORT_LOAD
Trigger DAG w/ config:
{"project": "CMSUNIV"}</t>
        </is>
      </c>
      <c r="H110" s="13" t="inlineStr">
        <is>
          <t>1. Check the precondition and run the setup SQL
2. Prepare the input: Exp_Sql_Txt reading core with {data_btch_id} / {src_id} and aliases
3. Run the job
4. Run the verification SQL (replace &lt;batch&gt;, &lt;table&gt;)
5. Compare with the expected result and record the outcome</t>
        </is>
      </c>
      <c r="I110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10" s="13" t="inlineStr">
        <is>
          <t>Rows from the SELECT; batch, Exp_Btch_ID and source columns stamped by the framework even if the SELECT returns its own; SQL with values in the log</t>
        </is>
      </c>
      <c r="K110" s="15" t="inlineStr">
        <is>
          <t>Not Run</t>
        </is>
      </c>
      <c r="L110" s="15" t="inlineStr"/>
      <c r="M110" s="15" t="inlineStr"/>
      <c r="N110" s="15" t="inlineStr"/>
      <c r="O110" s="15" t="inlineStr"/>
      <c r="P110" s="15" t="inlineStr"/>
      <c r="Q110" s="15" t="inlineStr"/>
    </row>
    <row r="111">
      <c r="A111" s="12" t="inlineStr">
        <is>
          <t>EX-16</t>
        </is>
      </c>
      <c r="B111" s="13" t="inlineStr">
        <is>
          <t>Export load and extract</t>
        </is>
      </c>
      <c r="C111" s="13" t="inlineStr">
        <is>
          <t>SELECT column not in export</t>
        </is>
      </c>
      <c r="D111" s="13" t="inlineStr">
        <is>
          <t>Alias to a non-existing column</t>
        </is>
      </c>
      <c r="E111" s="13" t="inlineStr">
        <is>
          <t>Trigger EXPORT_LOAD. Check Q8, the report (batches: status, data_from, rows), timeline EXPORT_LOADED, the export
feed views (extract).</t>
        </is>
      </c>
      <c r="F111" s="14" t="inlineStr">
        <is>
          <t>As EX-15, with one alias that is not an export column</t>
        </is>
      </c>
      <c r="G111" s="13" t="inlineStr">
        <is>
          <t>Airflow DAG OSSTD_CORE_CMS_COMPLIANCE_EXPORT_LOAD
Trigger DAG w/ config:
{"project": "CMSUNIV"}</t>
        </is>
      </c>
      <c r="H111" s="13" t="inlineStr">
        <is>
          <t>1. Check the precondition and run the setup SQL
2. Prepare the input: Alias to a non-existing column
3. Run the job
4. Run the verification SQL (replace &lt;batch&gt;, &lt;table&gt;)
5. Compare with the expected result and record the outcome</t>
        </is>
      </c>
      <c r="I111" s="14" t="inlineStr">
        <is>
          <t>SELECT c.Src_ID, d.Event_Dtts, d.Event_Ty, d.Load_ID, d.Event_Txt
FROM HSABC_DEV.ComplianceRequestFileDetail d JOIN HSABC_DEV.ComplianceRequestControl c ON c.Req_ID = d.Req_ID
WHERE c.Btch_ID = '&lt;batch&gt;' ORDER BY c.Src_ID, d.Detail_ID;
SELECT Event_ID, Event_Ty, Sevrty, Src_ID, Load_ID, Event_Txt, Notified_Ind
FROM HSABC_DEV.CMS_ComplianceExceptionsAudit WHERE Btch_ID = '&lt;batch&gt;' ORDER BY Event_ID;</t>
        </is>
      </c>
      <c r="J111" s="13" t="inlineStr">
        <is>
          <t>Batch FAILED: "returns columns that are not in …"; EXPORT_LOAD_FAILED</t>
        </is>
      </c>
      <c r="K111" s="15" t="inlineStr">
        <is>
          <t>Not Run</t>
        </is>
      </c>
      <c r="L111" s="15" t="inlineStr"/>
      <c r="M111" s="15" t="inlineStr"/>
      <c r="N111" s="15" t="inlineStr"/>
      <c r="O111" s="15" t="inlineStr"/>
      <c r="P111" s="15" t="inlineStr"/>
      <c r="Q111" s="15" t="inlineStr"/>
    </row>
    <row r="112">
      <c r="A112" s="12" t="inlineStr">
        <is>
          <t>EX-17</t>
        </is>
      </c>
      <c r="B112" s="13" t="inlineStr">
        <is>
          <t>Export load and extract</t>
        </is>
      </c>
      <c r="C112" s="13" t="inlineStr">
        <is>
          <t>Pre / post once per batch</t>
        </is>
      </c>
      <c r="D112" s="13" t="inlineStr">
        <is>
          <t>Exp_Pre_Sql_Txt inserting a log row, Exp_Post_Sql_Txt updating the batch's rows</t>
        </is>
      </c>
      <c r="E112" s="13" t="inlineStr">
        <is>
          <t>Trigger EXPORT_LOAD. Check Q8, the report (batches: status, data_from, rows), timeline EXPORT_LOADED, the export
feed views (extract).</t>
        </is>
      </c>
      <c r="F112" s="14" t="inlineStr">
        <is>
          <t>CREATE TABLE CMSUNIV_EXPORT_DEV_T.Test_Steps (Step VARCHAR(10), Btch_ID VARCHAR(255), Run_Ty VARCHAR(15));
UPDATE HSABC_DEV.ComplianceExportConfig SET
  Exp_Pre_Sql_Txt = 'INSERT INTO CMSUNIV_EXPORT_DEV_T.Test_Steps VALUES (''pre'', {btch_id}, {run_ty})',
  Exp_Post_Sql_Txt = 'INSERT INTO CMSUNIV_EXPORT_DEV_T.Test_Steps VALUES (''post'', {btch_id}, {run_ty})'
WHERE Project_Cd = 'CMSUNIV' AND Table_Nm = '&lt;test table&gt;';</t>
        </is>
      </c>
      <c r="G112" s="13" t="inlineStr">
        <is>
          <t>Airflow DAG OSSTD_CORE_CMS_COMPLIANCE_EXPORT_LOAD
Trigger DAG w/ config:
{"project": "CMSUNIV"}</t>
        </is>
      </c>
      <c r="H112" s="13" t="inlineStr">
        <is>
          <t>1. Check the precondition and run the setup SQL
2. Prepare the input: Exp_Pre_Sql_Txt inserting a log row, Exp_Post_Sql_Txt updating the batch's rows
3. Run the job
4. Run the verification SQL (replace &lt;batch&gt;, &lt;table&gt;)
5. Compare with the expected result and record the outcome</t>
        </is>
      </c>
      <c r="I112" s="14" t="inlineStr">
        <is>
          <t>SELECT Src_Data_Key, COUNT(*) AS Rows_
FROM CMSUNIV_EXPORT_DEV_T.&lt;table&gt;_EXPORT WHERE Exp_Btch_ID = '&lt;batch&gt;' GROUP BY 1;
SELECT * FROM CMSUNIV_EXPORT_DEV_T.Test_Steps ORDER BY 1;</t>
        </is>
      </c>
      <c r="J112" s="13" t="inlineStr">
        <is>
          <t>Pre and post run once per batch (not per source), in order, logged with values</t>
        </is>
      </c>
      <c r="K112" s="15" t="inlineStr">
        <is>
          <t>Not Run</t>
        </is>
      </c>
      <c r="L112" s="15" t="inlineStr"/>
      <c r="M112" s="15" t="inlineStr"/>
      <c r="N112" s="15" t="inlineStr"/>
      <c r="O112" s="15" t="inlineStr"/>
      <c r="P112" s="15" t="inlineStr"/>
      <c r="Q112" s="15" t="inlineStr"/>
    </row>
    <row r="113">
      <c r="A113" s="12" t="inlineStr">
        <is>
          <t>EX-18</t>
        </is>
      </c>
      <c r="B113" s="13" t="inlineStr">
        <is>
          <t>Export load and extract</t>
        </is>
      </c>
      <c r="C113" s="13" t="inlineStr">
        <is>
          <t>Rollback</t>
        </is>
      </c>
      <c r="D113" s="13" t="inlineStr">
        <is>
          <t>Make post fail (bad table)</t>
        </is>
      </c>
      <c r="E113" s="13" t="inlineStr">
        <is>
          <t>Trigger EXPORT_LOAD. Check Q8, the report (batches: status, data_from, rows), timeline EXPORT_LOADED, the export
feed views (extract).</t>
        </is>
      </c>
      <c r="F113" s="14" t="inlineStr">
        <is>
          <t>UPDATE HSABC_DEV.ComplianceExportConfig SET Exp_Post_Sql_Txt = 'UPDATE CMSUNIV_EXPORT_DEV_T.No_Such_Table SET x = 1 WHERE y = {btch_id}'
WHERE Project_Cd = 'CMSUNIV' AND Table_Nm = '&lt;test table&gt;';</t>
        </is>
      </c>
      <c r="G113" s="13" t="inlineStr">
        <is>
          <t>Airflow DAG OSSTD_CORE_CMS_COMPLIANCE_EXPORT_LOAD
Trigger DAG w/ config:
{"project": "CMSUNIV", "batch": "&lt;batch&gt;"}</t>
        </is>
      </c>
      <c r="H113" s="13" t="inlineStr">
        <is>
          <t>1. Check the precondition and run the setup SQL
2. Prepare the input: Make post fail (bad table)
3. Run the job
4. Run the verification SQL (replace &lt;batch&gt;, &lt;table&gt;)
5. Compare with the expected result and record the outcome</t>
        </is>
      </c>
      <c r="I113" s="14" t="inlineStr">
        <is>
          <t>SELECT Src_Data_Key, COUNT(*) AS Rows_
FROM CMSUNIV_EXPORT_DEV_T.&lt;table&gt;_EXPORT WHERE Exp_Btch_ID = '&lt;batch&gt;' GROUP BY 1;
SELECT * FROM CMSUNIV_EXPORT_DEV_T.Test_Steps ORDER BY 1;
SELECT Event_ID, Event_Ty, Sevrty, Src_ID, Load_ID, Event_Txt, Notified_Ind
FROM HSABC_DEV.CMS_ComplianceExceptionsAudit WHERE Btch_ID = '&lt;batch&gt;' ORDER BY Event_ID;</t>
        </is>
      </c>
      <c r="J113" s="13" t="inlineStr">
        <is>
          <t>Pre, every source's export and post rolled back; every source FAILED; old export rows still there; retried next run</t>
        </is>
      </c>
      <c r="K113" s="15" t="inlineStr">
        <is>
          <t>Not Run</t>
        </is>
      </c>
      <c r="L113" s="15" t="inlineStr"/>
      <c r="M113" s="15" t="inlineStr"/>
      <c r="N113" s="15" t="inlineStr"/>
      <c r="O113" s="15" t="inlineStr"/>
      <c r="P113" s="15" t="inlineStr"/>
      <c r="Q113" s="15" t="inlineStr"/>
    </row>
    <row r="114">
      <c r="A114" s="12" t="inlineStr">
        <is>
          <t>EX-19</t>
        </is>
      </c>
      <c r="B114" s="13" t="inlineStr">
        <is>
          <t>Export load and extract</t>
        </is>
      </c>
      <c r="C114" s="13" t="inlineStr">
        <is>
          <t>Multiple core tables</t>
        </is>
      </c>
      <c r="D114" s="13" t="inlineStr">
        <is>
          <t>ODAG3 sources 51/140 (file core) and 40 (AZ core)</t>
        </is>
      </c>
      <c r="E114" s="13" t="inlineStr">
        <is>
          <t>Trigger EXPORT_LOAD. Check Q8, the report (batches: status, data_from, rows), timeline EXPORT_LOADED, the export
feed views (extract).</t>
        </is>
      </c>
      <c r="F114" s="14" t="inlineStr"/>
      <c r="G114" s="13" t="inlineStr">
        <is>
          <t>Airflow DAG OSSTD_CORE_CMS_COMPLIANCE_EXPORT_LOAD
Trigger DAG w/ config:
{"project": "CMSUNIV"}</t>
        </is>
      </c>
      <c r="H114" s="13" t="inlineStr">
        <is>
          <t>1. Check the precondition
2. Prepare the input: ODAG3 sources 51/140 (file core) and 40 (AZ core)
3. Run the job
4. Run the verification SQL (replace &lt;batch&gt;, &lt;table&gt;)
5. Compare with the expected result and record the outcome</t>
        </is>
      </c>
      <c r="I114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14" s="13" t="inlineStr">
        <is>
          <t>Each source exported from its own core table into the one export table</t>
        </is>
      </c>
      <c r="K114" s="15" t="inlineStr">
        <is>
          <t>Not Run</t>
        </is>
      </c>
      <c r="L114" s="15" t="inlineStr"/>
      <c r="M114" s="15" t="inlineStr"/>
      <c r="N114" s="15" t="inlineStr"/>
      <c r="O114" s="15" t="inlineStr"/>
      <c r="P114" s="15" t="inlineStr"/>
      <c r="Q114" s="15" t="inlineStr"/>
    </row>
    <row r="115">
      <c r="A115" s="12" t="inlineStr">
        <is>
          <t>EX-20</t>
        </is>
      </c>
      <c r="B115" s="13" t="inlineStr">
        <is>
          <t>Export load and extract</t>
        </is>
      </c>
      <c r="C115" s="13" t="inlineStr">
        <is>
          <t>Partial failure</t>
        </is>
      </c>
      <c r="D115" s="13" t="inlineStr">
        <is>
          <t>Break one table's procedure</t>
        </is>
      </c>
      <c r="E115" s="13" t="inlineStr">
        <is>
          <t>Trigger EXPORT_LOAD. Check Q8, the report (batches: status, data_from, rows), timeline EXPORT_LOADED, the export
feed views (extract).</t>
        </is>
      </c>
      <c r="F115" s="14" t="inlineStr"/>
      <c r="G115" s="13" t="inlineStr">
        <is>
          <t>Airflow DAG OSSTD_CORE_CMS_COMPLIANCE_EXPORT_LOAD
Trigger DAG w/ config:
{"project": "CMSUNIV"}</t>
        </is>
      </c>
      <c r="H115" s="13" t="inlineStr">
        <is>
          <t>1. Check the precondition
2. Prepare the input: Break one table's procedure
3. Run the job
4. Run the verification SQL (replace &lt;batch&gt;, &lt;table&gt;)
5. Compare with the expected result and record the outcome</t>
        </is>
      </c>
      <c r="I115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15" s="13" t="inlineStr">
        <is>
          <t>Other tables exported; task fails at the end; FILE_RULES not triggered on that run</t>
        </is>
      </c>
      <c r="K115" s="15" t="inlineStr">
        <is>
          <t>Not Run</t>
        </is>
      </c>
      <c r="L115" s="15" t="inlineStr"/>
      <c r="M115" s="15" t="inlineStr"/>
      <c r="N115" s="15" t="inlineStr"/>
      <c r="O115" s="15" t="inlineStr"/>
      <c r="P115" s="15" t="inlineStr"/>
      <c r="Q115" s="15" t="inlineStr"/>
    </row>
    <row r="116">
      <c r="A116" s="12" t="inlineStr">
        <is>
          <t>EX-21</t>
        </is>
      </c>
      <c r="B116" s="13" t="inlineStr">
        <is>
          <t>Export load and extract</t>
        </is>
      </c>
      <c r="C116" s="13" t="inlineStr">
        <is>
          <t>Extract / feed view</t>
        </is>
      </c>
      <c r="D116" s="13" t="inlineStr">
        <is>
          <t>After EX-02</t>
        </is>
      </c>
      <c r="E116" s="13" t="inlineStr">
        <is>
          <t>Trigger EXPORT_LOAD. Check Q8, the report (batches: status, data_from, rows), timeline EXPORT_LOADED, the export
feed views (extract).</t>
        </is>
      </c>
      <c r="F116" s="14" t="inlineStr"/>
      <c r="G116" s="13" t="inlineStr">
        <is>
          <t>Airflow DAG OSSTD_CORE_CMS_COMPLIANCE_EXPORT_LOAD
Trigger DAG w/ config:
{"project": "CMSUNIV"}</t>
        </is>
      </c>
      <c r="H116" s="13" t="inlineStr">
        <is>
          <t>1. Check the precondition
2. Prepare the input: After EX-02
3. Run the job
4. Run the verification SQL (replace &lt;batch&gt;, &lt;table&gt;)
5. Compare with the expected result and record the outcome</t>
        </is>
      </c>
      <c r="I116" s="14" t="inlineStr">
        <is>
          <t>SELECT Src_Data_Key, COUNT(*) AS Rows_
FROM CMSUNIV_EXPORT_DEV_T.&lt;table&gt;_EXPORT WHERE Exp_Btch_ID = '&lt;batch&gt;' GROUP BY 1;
SELECT COUNT(*) FROM EXPORT_FEED_DEV_V.SDO_CMSUNIV_&lt;table&gt;_2022 WHERE Btch_ID = '&lt;batch&gt;';</t>
        </is>
      </c>
      <c r="J116" s="13" t="inlineStr">
        <is>
          <t>SELECT COUNT(*) FROM EXPORT_FEED_DEV_V.SDO_CMSUNIV_&lt;table&gt;_2022 WHERE Btch_ID = '&lt;batch&gt;' = Q8 total; columns, formats and values as the CMS layout requires; no rows of other batches mixed</t>
        </is>
      </c>
      <c r="K116" s="15" t="inlineStr">
        <is>
          <t>Not Run</t>
        </is>
      </c>
      <c r="L116" s="15" t="inlineStr"/>
      <c r="M116" s="15" t="inlineStr"/>
      <c r="N116" s="15" t="inlineStr"/>
      <c r="O116" s="15" t="inlineStr"/>
      <c r="P116" s="15" t="inlineStr"/>
      <c r="Q116" s="15" t="inlineStr"/>
    </row>
    <row r="117">
      <c r="A117" s="12" t="inlineStr">
        <is>
          <t>EX-22</t>
        </is>
      </c>
      <c r="B117" s="13" t="inlineStr">
        <is>
          <t>Export load and extract</t>
        </is>
      </c>
      <c r="C117" s="13" t="inlineStr">
        <is>
          <t>Extract per run type</t>
        </is>
      </c>
      <c r="D117" s="13" t="inlineStr">
        <is>
          <t>Batches of DLY and MNT exported</t>
        </is>
      </c>
      <c r="E117" s="13" t="inlineStr">
        <is>
          <t>Trigger EXPORT_LOAD. Check Q8, the report (batches: status, data_from, rows), timeline EXPORT_LOADED, the export
feed views (extract).</t>
        </is>
      </c>
      <c r="F117" s="14" t="inlineStr"/>
      <c r="G117" s="13" t="inlineStr">
        <is>
          <t>Airflow DAG OSSTD_CORE_CMS_COMPLIANCE_EXPORT_LOAD
Trigger DAG w/ config:
{"project": "CMSUNIV"}</t>
        </is>
      </c>
      <c r="H117" s="13" t="inlineStr">
        <is>
          <t>1. Check the precondition
2. Prepare the input: Batches of DLY and MNT exported
3. Run the job
4. Run the verification SQL (replace &lt;batch&gt;, &lt;table&gt;)
5. Compare with the expected result and record the outcome</t>
        </is>
      </c>
      <c r="I117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17" s="13" t="inlineStr">
        <is>
          <t>Feed shows each batch separately by Btch_ID / Run_Ty</t>
        </is>
      </c>
      <c r="K117" s="15" t="inlineStr">
        <is>
          <t>Not Run</t>
        </is>
      </c>
      <c r="L117" s="15" t="inlineStr"/>
      <c r="M117" s="15" t="inlineStr"/>
      <c r="N117" s="15" t="inlineStr"/>
      <c r="O117" s="15" t="inlineStr"/>
      <c r="P117" s="15" t="inlineStr"/>
      <c r="Q117" s="15" t="inlineStr"/>
    </row>
    <row r="118">
      <c r="A118" s="12" t="inlineStr">
        <is>
          <t>EX-23</t>
        </is>
      </c>
      <c r="B118" s="13" t="inlineStr">
        <is>
          <t>Export load and extract</t>
        </is>
      </c>
      <c r="C118" s="13" t="inlineStr">
        <is>
          <t>Wait for rules</t>
        </is>
      </c>
      <c r="D118" s="13" t="inlineStr">
        <is>
          <t>EXPORT_LOAD with wait_for_triggered</t>
        </is>
      </c>
      <c r="E118" s="13" t="inlineStr">
        <is>
          <t>Trigger EXPORT_LOAD. Check Q8, the report (batches: status, data_from, rows), timeline EXPORT_LOADED, the export
feed views (extract).</t>
        </is>
      </c>
      <c r="F118" s="14" t="inlineStr"/>
      <c r="G118" s="13" t="inlineStr">
        <is>
          <t>Airflow DAG OSSTD_CORE_CMS_COMPLIANCE_EXPORT_LOAD
Trigger DAG w/ config:
{"project": "CMSUNIV"}
watch task trigger_osstd_core_cms_compliance_file_rules (deferred)</t>
        </is>
      </c>
      <c r="H118" s="13" t="inlineStr">
        <is>
          <t>1. Check the precondition
2. Prepare the input: EXPORT_LOAD with wait_for_triggered
3. Run the job
4. Run the verification SQL (replace &lt;batch&gt;, &lt;table&gt;)
5. Compare with the expected result and record the outcome</t>
        </is>
      </c>
      <c r="I118" s="14" t="inlineStr">
        <is>
          <t>SELECT Src_Data_Key, COUNT(*) AS Rows_
FROM CMSUNIV_EXPORT_DEV_T.&lt;table&gt;_EXPORT WHERE Exp_Btch_ID = '&lt;batch&gt;' GROUP BY 1;
SELECT c.Src_ID, d.Event_Dtts, d.Event_Ty, d.Load_ID, d.Event_Txt
FROM HSABC_DEV.ComplianceRequestFileDetail d JOIN HSABC_DEV.ComplianceRequestControl c ON c.Req_ID = d.Req_ID
WHERE c.Btch_ID = '&lt;batch&gt;' ORDER BY c.Src_ID, d.Detail_ID;</t>
        </is>
      </c>
      <c r="J118" s="13" t="inlineStr">
        <is>
          <t>Task trigger_…file_rules deferred until FILE_RULES ends; EXPORT_LOAD ends after it; next EXPORT_LOAD waits</t>
        </is>
      </c>
      <c r="K118" s="15" t="inlineStr">
        <is>
          <t>Not Run</t>
        </is>
      </c>
      <c r="L118" s="15" t="inlineStr"/>
      <c r="M118" s="15" t="inlineStr"/>
      <c r="N118" s="15" t="inlineStr"/>
      <c r="O118" s="15" t="inlineStr"/>
      <c r="P118" s="15" t="inlineStr"/>
      <c r="Q118" s="15" t="inlineStr"/>
    </row>
    <row r="119">
      <c r="A119" s="12" t="inlineStr">
        <is>
          <t>RU-01</t>
        </is>
      </c>
      <c r="B119" s="13" t="inlineStr">
        <is>
          <t>Data quality rules</t>
        </is>
      </c>
      <c r="C119" s="13" t="inlineStr">
        <is>
          <t>Rules per exported batch</t>
        </is>
      </c>
      <c r="D119" s="13" t="inlineStr">
        <is>
          <t>EX-02 for CDAG2 MNT</t>
        </is>
      </c>
      <c r="E119" s="13" t="inlineStr">
        <is>
          <t>Runs after EXPORT_LOAD (or trigger FILE_RULES with {"project":"CMSUNIV"}). Check the task log, Q4 Rules_Stat, Q9.</t>
        </is>
      </c>
      <c r="F119" s="14" t="inlineStr"/>
      <c r="G119" s="13" t="inlineStr">
        <is>
          <t>Airflow DAG OSSTD_CORE_CMS_COMPLIANCE_EXPORT_LOAD
Trigger DAG w/ config:
{"project": "CMSUNIV"}
(starts FILE_RULES and waits), or DAG OSSTD_CORE_CMS_COMPLIANCE_FILE_RULES with {"project": "CMSUNIV"}</t>
        </is>
      </c>
      <c r="H119" s="13" t="inlineStr">
        <is>
          <t>1. Check the precondition
2. Prepare the input: EX-02 for CDAG2 MNT
3. Run the job
4. Run the verification SQL (replace &lt;batch&gt;, &lt;table&gt;)
5. Compare with the expected result and record the outcome</t>
        </is>
      </c>
      <c r="I119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19" s="13" t="inlineStr">
        <is>
          <t>rule group(s) CDAG2/MNT, GRE rule_group=CDAG2 rule_variant=MNT run_key=&lt;batch&gt; extra_filters={'Btch_ID': '&lt;batch&gt;'}`</t>
        </is>
      </c>
      <c r="K119" s="15" t="inlineStr">
        <is>
          <t>Not Run</t>
        </is>
      </c>
      <c r="L119" s="15" t="inlineStr"/>
      <c r="M119" s="15" t="inlineStr"/>
      <c r="N119" s="15" t="inlineStr"/>
      <c r="O119" s="15" t="inlineStr"/>
      <c r="P119" s="15" t="inlineStr"/>
      <c r="Q119" s="15" t="inlineStr"/>
    </row>
    <row r="120">
      <c r="A120" s="12" t="inlineStr">
        <is>
          <t>RU-02</t>
        </is>
      </c>
      <c r="B120" s="13" t="inlineStr">
        <is>
          <t>Data quality rules</t>
        </is>
      </c>
      <c r="C120" s="13" t="inlineStr">
        <is>
          <t>All sources at once</t>
        </is>
      </c>
      <c r="D120" s="13" t="inlineStr">
        <is>
          <t>Batch with several sources</t>
        </is>
      </c>
      <c r="E120" s="13" t="inlineStr">
        <is>
          <t>Runs after EXPORT_LOAD (or trigger FILE_RULES with {"project":"CMSUNIV"}). Check the task log, Q4 Rules_Stat, Q9.</t>
        </is>
      </c>
      <c r="F120" s="14" t="inlineStr"/>
      <c r="G120" s="13" t="inlineStr">
        <is>
          <t>Airflow DAG OSSTD_CORE_CMS_COMPLIANCE_EXPORT_LOAD
Trigger DAG w/ config:
{"project": "CMSUNIV"}
(starts FILE_RULES and waits), or DAG OSSTD_CORE_CMS_COMPLIANCE_FILE_RULES with {"project": "CMSUNIV"}</t>
        </is>
      </c>
      <c r="H120" s="13" t="inlineStr">
        <is>
          <t>1. Check the precondition
2. Prepare the input: Batch with several sources
3. Run the job
4. Run the verification SQL (replace &lt;batch&gt;, &lt;table&gt;)
5. Compare with the expected result and record the outcome</t>
        </is>
      </c>
      <c r="I120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20" s="13" t="inlineStr">
        <is>
          <t>One GRE call per batch; rules see every source's rows of the batch only</t>
        </is>
      </c>
      <c r="K120" s="15" t="inlineStr">
        <is>
          <t>Not Run</t>
        </is>
      </c>
      <c r="L120" s="15" t="inlineStr"/>
      <c r="M120" s="15" t="inlineStr"/>
      <c r="N120" s="15" t="inlineStr"/>
      <c r="O120" s="15" t="inlineStr"/>
      <c r="P120" s="15" t="inlineStr"/>
      <c r="Q120" s="15" t="inlineStr"/>
    </row>
    <row r="121">
      <c r="A121" s="12" t="inlineStr">
        <is>
          <t>RU-03</t>
        </is>
      </c>
      <c r="B121" s="13" t="inlineStr">
        <is>
          <t>Data quality rules</t>
        </is>
      </c>
      <c r="C121" s="13" t="inlineStr">
        <is>
          <t>Rule SQL logged</t>
        </is>
      </c>
      <c r="D121" s="13" t="inlineStr">
        <is>
          <t>RU-01</t>
        </is>
      </c>
      <c r="E121" s="13" t="inlineStr">
        <is>
          <t>Runs after EXPORT_LOAD (or trigger FILE_RULES with {"project":"CMSUNIV"}). Check the task log, Q4 Rules_Stat, Q9.</t>
        </is>
      </c>
      <c r="F121" s="14" t="inlineStr"/>
      <c r="G121" s="13" t="inlineStr">
        <is>
          <t>Airflow DAG OSSTD_CORE_CMS_COMPLIANCE_EXPORT_LOAD
Trigger DAG w/ config:
{"project": "CMSUNIV"}
(starts FILE_RULES and waits), or DAG OSSTD_CORE_CMS_COMPLIANCE_FILE_RULES with {"project": "CMSUNIV"}</t>
        </is>
      </c>
      <c r="H121" s="13" t="inlineStr">
        <is>
          <t>1. Check the precondition
2. Prepare the input: RU-01
3. Run the job
4. Run the verification SQL (replace &lt;batch&gt;, &lt;table&gt;)
5. Compare with the expected result and record the outcome</t>
        </is>
      </c>
      <c r="I121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21" s="13" t="inlineStr">
        <is>
          <t>Each rule's final SQL (with $env and the batch filter) at INFO</t>
        </is>
      </c>
      <c r="K121" s="15" t="inlineStr">
        <is>
          <t>Not Run</t>
        </is>
      </c>
      <c r="L121" s="15" t="inlineStr"/>
      <c r="M121" s="15" t="inlineStr"/>
      <c r="N121" s="15" t="inlineStr"/>
      <c r="O121" s="15" t="inlineStr"/>
      <c r="P121" s="15" t="inlineStr"/>
      <c r="Q121" s="15" t="inlineStr"/>
    </row>
    <row r="122">
      <c r="A122" s="12" t="inlineStr">
        <is>
          <t>RU-04</t>
        </is>
      </c>
      <c r="B122" s="13" t="inlineStr">
        <is>
          <t>Data quality rules</t>
        </is>
      </c>
      <c r="C122" s="13" t="inlineStr">
        <is>
          <t>Pass</t>
        </is>
      </c>
      <c r="D122" s="13" t="inlineStr">
        <is>
          <t>Clean data</t>
        </is>
      </c>
      <c r="E122" s="13" t="inlineStr">
        <is>
          <t>Runs after EXPORT_LOAD (or trigger FILE_RULES with {"project":"CMSUNIV"}). Check the task log, Q4 Rules_Stat, Q9.</t>
        </is>
      </c>
      <c r="F122" s="14" t="inlineStr"/>
      <c r="G122" s="13" t="inlineStr">
        <is>
          <t>Airflow DAG OSSTD_CORE_CMS_COMPLIANCE_EXPORT_LOAD
Trigger DAG w/ config:
{"project": "CMSUNIV"}
(starts FILE_RULES and waits), or DAG OSSTD_CORE_CMS_COMPLIANCE_FILE_RULES with {"project": "CMSUNIV"}</t>
        </is>
      </c>
      <c r="H122" s="13" t="inlineStr">
        <is>
          <t>1. Check the precondition
2. Prepare the input: Clean data
3. Run the job
4. Run the verification SQL (replace &lt;batch&gt;, &lt;table&gt;)
5. Compare with the expected result and record the outcome</t>
        </is>
      </c>
      <c r="I122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22" s="13" t="inlineStr">
        <is>
          <t>Rules_Stat = PASSED on the batch's loads; FILE_RULES_PASSED</t>
        </is>
      </c>
      <c r="K122" s="15" t="inlineStr">
        <is>
          <t>Not Run</t>
        </is>
      </c>
      <c r="L122" s="15" t="inlineStr"/>
      <c r="M122" s="15" t="inlineStr"/>
      <c r="N122" s="15" t="inlineStr"/>
      <c r="O122" s="15" t="inlineStr"/>
      <c r="P122" s="15" t="inlineStr"/>
      <c r="Q122" s="15" t="inlineStr"/>
    </row>
    <row r="123">
      <c r="A123" s="12" t="inlineStr">
        <is>
          <t>RU-05</t>
        </is>
      </c>
      <c r="B123" s="13" t="inlineStr">
        <is>
          <t>Data quality rules</t>
        </is>
      </c>
      <c r="C123" s="13" t="inlineStr">
        <is>
          <t>Fail</t>
        </is>
      </c>
      <c r="D123" s="13" t="inlineStr">
        <is>
          <t>Data breaking a rule</t>
        </is>
      </c>
      <c r="E123" s="13" t="inlineStr">
        <is>
          <t>Runs after EXPORT_LOAD (or trigger FILE_RULES with {"project":"CMSUNIV"}). Check the task log, Q4 Rules_Stat, Q9.</t>
        </is>
      </c>
      <c r="F123" s="14" t="inlineStr"/>
      <c r="G123" s="13" t="inlineStr">
        <is>
          <t>Airflow DAG OSSTD_CORE_CMS_COMPLIANCE_EXPORT_LOAD
Trigger DAG w/ config:
{"project": "CMSUNIV"}
(starts FILE_RULES and waits), or DAG OSSTD_CORE_CMS_COMPLIANCE_FILE_RULES with {"project": "CMSUNIV"}</t>
        </is>
      </c>
      <c r="H123" s="13" t="inlineStr">
        <is>
          <t>1. Check the precondition
2. Prepare the input: Data breaking a rule
3. Run the job
4. Run the verification SQL (replace &lt;batch&gt;, &lt;table&gt;)
5. Compare with the expected result and record the outcome</t>
        </is>
      </c>
      <c r="I123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23" s="13" t="inlineStr">
        <is>
          <t>FAILED; FILE_RULES_FAILED; RULES_VALIDATION_FAILED emailed; data and export unchanged; task succeeds</t>
        </is>
      </c>
      <c r="K123" s="15" t="inlineStr">
        <is>
          <t>Not Run</t>
        </is>
      </c>
      <c r="L123" s="15" t="inlineStr"/>
      <c r="M123" s="15" t="inlineStr"/>
      <c r="N123" s="15" t="inlineStr"/>
      <c r="O123" s="15" t="inlineStr"/>
      <c r="P123" s="15" t="inlineStr"/>
      <c r="Q123" s="15" t="inlineStr"/>
    </row>
    <row r="124">
      <c r="A124" s="12" t="inlineStr">
        <is>
          <t>RU-06</t>
        </is>
      </c>
      <c r="B124" s="13" t="inlineStr">
        <is>
          <t>Data quality rules</t>
        </is>
      </c>
      <c r="C124" s="13" t="inlineStr">
        <is>
          <t>Results keyed by batch</t>
        </is>
      </c>
      <c r="D124" s="13" t="inlineStr">
        <is>
          <t>RU-04 / 05</t>
        </is>
      </c>
      <c r="E124" s="13" t="inlineStr">
        <is>
          <t>Runs after EXPORT_LOAD (or trigger FILE_RULES with {"project":"CMSUNIV"}). Check the task log, Q4 Rules_Stat, Q9.</t>
        </is>
      </c>
      <c r="F124" s="14" t="inlineStr"/>
      <c r="G124" s="13" t="inlineStr">
        <is>
          <t>Airflow DAG OSSTD_CORE_CMS_COMPLIANCE_EXPORT_LOAD
Trigger DAG w/ config:
{"project": "CMSUNIV"}
(starts FILE_RULES and waits), or DAG OSSTD_CORE_CMS_COMPLIANCE_FILE_RULES with {"project": "CMSUNIV"}</t>
        </is>
      </c>
      <c r="H124" s="13" t="inlineStr">
        <is>
          <t>1. Check the precondition
2. Prepare the input: RU-04 / 05
3. Run the job
4. Run the verification SQL (replace &lt;batch&gt;, &lt;table&gt;)
5. Compare with the expected result and record the outcome</t>
        </is>
      </c>
      <c r="I124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24" s="13" t="inlineStr">
        <is>
          <t>Q9: gre_results.run_key = batch; gre_exceptions.run_type = run type, batch_schedule = batch</t>
        </is>
      </c>
      <c r="K124" s="15" t="inlineStr">
        <is>
          <t>Not Run</t>
        </is>
      </c>
      <c r="L124" s="15" t="inlineStr"/>
      <c r="M124" s="15" t="inlineStr"/>
      <c r="N124" s="15" t="inlineStr"/>
      <c r="O124" s="15" t="inlineStr"/>
      <c r="P124" s="15" t="inlineStr"/>
      <c r="Q124" s="15" t="inlineStr"/>
    </row>
    <row r="125">
      <c r="A125" s="12" t="inlineStr">
        <is>
          <t>RU-07</t>
        </is>
      </c>
      <c r="B125" s="13" t="inlineStr">
        <is>
          <t>Data quality rules</t>
        </is>
      </c>
      <c r="C125" s="13" t="inlineStr">
        <is>
          <t>Not exported yet</t>
        </is>
      </c>
      <c r="D125" s="13" t="inlineStr">
        <is>
          <t>Load without export (table has an export)</t>
        </is>
      </c>
      <c r="E125" s="13" t="inlineStr">
        <is>
          <t>Runs after EXPORT_LOAD (or trigger FILE_RULES with {"project":"CMSUNIV"}). Check the task log, Q4 Rules_Stat, Q9.</t>
        </is>
      </c>
      <c r="F125" s="14" t="inlineStr"/>
      <c r="G125" s="13" t="inlineStr">
        <is>
          <t>Airflow DAG OSSTD_CORE_CMS_COMPLIANCE_FILE_RULES
Trigger DAG w/ config:
{"project": "CMSUNIV"}</t>
        </is>
      </c>
      <c r="H125" s="13" t="inlineStr">
        <is>
          <t>1. Check the precondition
2. Prepare the input: Load without export (table has an export)
3. Run the job
4. Run the verification SQL (replace &lt;batch&gt;, &lt;table&gt;)
5. Compare with the expected result and record the outcome</t>
        </is>
      </c>
      <c r="I125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25" s="13" t="inlineStr">
        <is>
          <t>Listed waiting_for_export; rules not run</t>
        </is>
      </c>
      <c r="K125" s="15" t="inlineStr">
        <is>
          <t>Not Run</t>
        </is>
      </c>
      <c r="L125" s="15" t="inlineStr"/>
      <c r="M125" s="15" t="inlineStr"/>
      <c r="N125" s="15" t="inlineStr"/>
      <c r="O125" s="15" t="inlineStr"/>
      <c r="P125" s="15" t="inlineStr"/>
      <c r="Q125" s="15" t="inlineStr"/>
    </row>
    <row r="126">
      <c r="A126" s="12" t="inlineStr">
        <is>
          <t>RU-08</t>
        </is>
      </c>
      <c r="B126" s="13" t="inlineStr">
        <is>
          <t>Data quality rules</t>
        </is>
      </c>
      <c r="C126" s="13" t="inlineStr">
        <is>
          <t>No rules</t>
        </is>
      </c>
      <c r="D126" s="13" t="inlineStr">
        <is>
          <t>Table / run type with no active rules</t>
        </is>
      </c>
      <c r="E126" s="13" t="inlineStr">
        <is>
          <t>Runs after EXPORT_LOAD (or trigger FILE_RULES with {"project":"CMSUNIV"}). Check the task log, Q4 Rules_Stat, Q9.</t>
        </is>
      </c>
      <c r="F126" s="14" t="inlineStr"/>
      <c r="G126" s="13" t="inlineStr">
        <is>
          <t>Airflow DAG OSSTD_CORE_CMS_COMPLIANCE_EXPORT_LOAD
Trigger DAG w/ config:
{"project": "CMSUNIV"}
(starts FILE_RULES and waits), or DAG OSSTD_CORE_CMS_COMPLIANCE_FILE_RULES with {"project": "CMSUNIV"}</t>
        </is>
      </c>
      <c r="H126" s="13" t="inlineStr">
        <is>
          <t>1. Check the precondition
2. Prepare the input: Table / run type with no active rules
3. Run the job
4. Run the verification SQL (replace &lt;batch&gt;, &lt;table&gt;)
5. Compare with the expected result and record the outcome</t>
        </is>
      </c>
      <c r="I126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26" s="13" t="inlineStr">
        <is>
          <t>SKIPPED</t>
        </is>
      </c>
      <c r="K126" s="15" t="inlineStr">
        <is>
          <t>Not Run</t>
        </is>
      </c>
      <c r="L126" s="15" t="inlineStr"/>
      <c r="M126" s="15" t="inlineStr"/>
      <c r="N126" s="15" t="inlineStr"/>
      <c r="O126" s="15" t="inlineStr"/>
      <c r="P126" s="15" t="inlineStr"/>
      <c r="Q126" s="15" t="inlineStr"/>
    </row>
    <row r="127">
      <c r="A127" s="12" t="inlineStr">
        <is>
          <t>RU-09</t>
        </is>
      </c>
      <c r="B127" s="13" t="inlineStr">
        <is>
          <t>Data quality rules</t>
        </is>
      </c>
      <c r="C127" s="13" t="inlineStr">
        <is>
          <t>No data</t>
        </is>
      </c>
      <c r="D127" s="13" t="inlineStr">
        <is>
          <t>Batch with 0 rows</t>
        </is>
      </c>
      <c r="E127" s="13" t="inlineStr">
        <is>
          <t>Runs after EXPORT_LOAD (or trigger FILE_RULES with {"project":"CMSUNIV"}). Check the task log, Q4 Rules_Stat, Q9.</t>
        </is>
      </c>
      <c r="F127" s="14" t="inlineStr"/>
      <c r="G127" s="13" t="inlineStr">
        <is>
          <t>Airflow DAG OSSTD_CORE_CMS_COMPLIANCE_EXPORT_LOAD
Trigger DAG w/ config:
{"project": "CMSUNIV"}
(starts FILE_RULES and waits), or DAG OSSTD_CORE_CMS_COMPLIANCE_FILE_RULES with {"project": "CMSUNIV"}</t>
        </is>
      </c>
      <c r="H127" s="13" t="inlineStr">
        <is>
          <t>1. Check the precondition
2. Prepare the input: Batch with 0 rows
3. Run the job
4. Run the verification SQL (replace &lt;batch&gt;, &lt;table&gt;)
5. Compare with the expected result and record the outcome</t>
        </is>
      </c>
      <c r="I127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27" s="13" t="inlineStr">
        <is>
          <t>SKIPPED; GRE not called</t>
        </is>
      </c>
      <c r="K127" s="15" t="inlineStr">
        <is>
          <t>Not Run</t>
        </is>
      </c>
      <c r="L127" s="15" t="inlineStr"/>
      <c r="M127" s="15" t="inlineStr"/>
      <c r="N127" s="15" t="inlineStr"/>
      <c r="O127" s="15" t="inlineStr"/>
      <c r="P127" s="15" t="inlineStr"/>
      <c r="Q127" s="15" t="inlineStr"/>
    </row>
    <row r="128">
      <c r="A128" s="12" t="inlineStr">
        <is>
          <t>RU-10</t>
        </is>
      </c>
      <c r="B128" s="13" t="inlineStr">
        <is>
          <t>Data quality rules</t>
        </is>
      </c>
      <c r="C128" s="13" t="inlineStr">
        <is>
          <t>Rule error</t>
        </is>
      </c>
      <c r="D128" s="13" t="inlineStr">
        <is>
          <t>Break one rule's SQL</t>
        </is>
      </c>
      <c r="E128" s="13" t="inlineStr">
        <is>
          <t>Runs after EXPORT_LOAD (or trigger FILE_RULES with {"project":"CMSUNIV"}). Check the task log, Q4 Rules_Stat, Q9.</t>
        </is>
      </c>
      <c r="F128" s="14" t="inlineStr"/>
      <c r="G128" s="13" t="inlineStr">
        <is>
          <t>Airflow DAG OSSTD_CORE_CMS_COMPLIANCE_EXPORT_LOAD
Trigger DAG w/ config:
{"project": "CMSUNIV"}
(starts FILE_RULES and waits), or DAG OSSTD_CORE_CMS_COMPLIANCE_FILE_RULES with {"project": "CMSUNIV"}</t>
        </is>
      </c>
      <c r="H128" s="13" t="inlineStr">
        <is>
          <t>1. Check the precondition
2. Prepare the input: Break one rule's SQL
3. Run the job
4. Run the verification SQL (replace &lt;batch&gt;, &lt;table&gt;)
5. Compare with the expected result and record the outcome</t>
        </is>
      </c>
      <c r="I128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28" s="13" t="inlineStr">
        <is>
          <t>ERROR; RULES_ENGINE_TECHNICAL_FAILURE emailed once; other batches still run; task fails at the end; retried next run</t>
        </is>
      </c>
      <c r="K128" s="15" t="inlineStr">
        <is>
          <t>Not Run</t>
        </is>
      </c>
      <c r="L128" s="15" t="inlineStr"/>
      <c r="M128" s="15" t="inlineStr"/>
      <c r="N128" s="15" t="inlineStr"/>
      <c r="O128" s="15" t="inlineStr"/>
      <c r="P128" s="15" t="inlineStr"/>
      <c r="Q128" s="15" t="inlineStr"/>
    </row>
    <row r="129">
      <c r="A129" s="12" t="inlineStr">
        <is>
          <t>RU-11</t>
        </is>
      </c>
      <c r="B129" s="13" t="inlineStr">
        <is>
          <t>Data quality rules</t>
        </is>
      </c>
      <c r="C129" s="13" t="inlineStr">
        <is>
          <t>Rerun after reload</t>
        </is>
      </c>
      <c r="D129" s="13" t="inlineStr">
        <is>
          <t>Reload + re-export a batch</t>
        </is>
      </c>
      <c r="E129" s="13" t="inlineStr">
        <is>
          <t>Runs after EXPORT_LOAD (or trigger FILE_RULES with {"project":"CMSUNIV"}). Check the task log, Q4 Rules_Stat, Q9.</t>
        </is>
      </c>
      <c r="F129" s="14" t="inlineStr"/>
      <c r="G129" s="13" t="inlineStr">
        <is>
          <t>Airflow DAG OSSTD_CORE_CMS_COMPLIANCE_EXPORT_LOAD
Trigger DAG w/ config:
{"project": "CMSUNIV"}
(starts FILE_RULES and waits), or DAG OSSTD_CORE_CMS_COMPLIANCE_FILE_RULES with {"project": "CMSUNIV"}</t>
        </is>
      </c>
      <c r="H129" s="13" t="inlineStr">
        <is>
          <t>1. Check the precondition
2. Prepare the input: Reload + re-export a batch
3. Run the job
4. Run the verification SQL (replace &lt;batch&gt;, &lt;table&gt;)
5. Compare with the expected result and record the outcome</t>
        </is>
      </c>
      <c r="I129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29" s="13" t="inlineStr">
        <is>
          <t>Rules run again with the same run_key; results refreshed (no duplicates)</t>
        </is>
      </c>
      <c r="K129" s="15" t="inlineStr">
        <is>
          <t>Not Run</t>
        </is>
      </c>
      <c r="L129" s="15" t="inlineStr"/>
      <c r="M129" s="15" t="inlineStr"/>
      <c r="N129" s="15" t="inlineStr"/>
      <c r="O129" s="15" t="inlineStr"/>
      <c r="P129" s="15" t="inlineStr"/>
      <c r="Q129" s="15" t="inlineStr"/>
    </row>
    <row r="130">
      <c r="A130" s="12" t="inlineStr">
        <is>
          <t>RU-12</t>
        </is>
      </c>
      <c r="B130" s="13" t="inlineStr">
        <is>
          <t>Data quality rules</t>
        </is>
      </c>
      <c r="C130" s="13" t="inlineStr">
        <is>
          <t>Variant empty</t>
        </is>
      </c>
      <c r="D130" s="13" t="inlineStr">
        <is>
          <t>Rules with empty RULE_VARIANT</t>
        </is>
      </c>
      <c r="E130" s="13" t="inlineStr">
        <is>
          <t>Runs after EXPORT_LOAD (or trigger FILE_RULES with {"project":"CMSUNIV"}). Check the task log, Q4 Rules_Stat, Q9.</t>
        </is>
      </c>
      <c r="F130" s="14" t="inlineStr"/>
      <c r="G130" s="13" t="inlineStr">
        <is>
          <t>Airflow DAG OSSTD_CORE_CMS_COMPLIANCE_EXPORT_LOAD
Trigger DAG w/ config:
{"project": "CMSUNIV"}
(starts FILE_RULES and waits), or DAG OSSTD_CORE_CMS_COMPLIANCE_FILE_RULES with {"project": "CMSUNIV"}</t>
        </is>
      </c>
      <c r="H130" s="13" t="inlineStr">
        <is>
          <t>1. Check the precondition
2. Prepare the input: Rules with empty RULE_VARIANT
3. Run the job
4. Run the verification SQL (replace &lt;batch&gt;, &lt;table&gt;)
5. Compare with the expected result and record the outcome</t>
        </is>
      </c>
      <c r="I130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30" s="13" t="inlineStr">
        <is>
          <t>Run for every run type</t>
        </is>
      </c>
      <c r="K130" s="15" t="inlineStr">
        <is>
          <t>Not Run</t>
        </is>
      </c>
      <c r="L130" s="15" t="inlineStr"/>
      <c r="M130" s="15" t="inlineStr"/>
      <c r="N130" s="15" t="inlineStr"/>
      <c r="O130" s="15" t="inlineStr"/>
      <c r="P130" s="15" t="inlineStr"/>
      <c r="Q130" s="15" t="inlineStr"/>
    </row>
    <row r="131">
      <c r="A131" s="12" t="inlineStr">
        <is>
          <t>RU-13</t>
        </is>
      </c>
      <c r="B131" s="13" t="inlineStr">
        <is>
          <t>Data quality rules</t>
        </is>
      </c>
      <c r="C131" s="13" t="inlineStr">
        <is>
          <t>Binding override</t>
        </is>
      </c>
      <c r="D131" s="13" t="inlineStr">
        <is>
          <t>ComplianceRuleBinding row naming another group</t>
        </is>
      </c>
      <c r="E131" s="13" t="inlineStr">
        <is>
          <t>Runs after EXPORT_LOAD (or trigger FILE_RULES with {"project":"CMSUNIV"}). Check the task log, Q4 Rules_Stat, Q9.</t>
        </is>
      </c>
      <c r="F131" s="14" t="inlineStr">
        <is>
          <t>INSERT INTO HSABC_DEV.ComplianceRuleBinding (Project_Cd, Table_Nm, Src_ID, Run_Ty, Gre_Rule_Group, Gre_Rule_Variant, Active_Ind)
VALUES ('CMSUNIV', 'CDAG2', '*', '*', '&lt;other rule group&gt;', '*', 1);</t>
        </is>
      </c>
      <c r="G131" s="13" t="inlineStr">
        <is>
          <t>Airflow DAG OSSTD_CORE_CMS_COMPLIANCE_EXPORT_LOAD
Trigger DAG w/ config:
{"project": "CMSUNIV"}
(starts FILE_RULES and waits), or DAG OSSTD_CORE_CMS_COMPLIANCE_FILE_RULES with {"project": "CMSUNIV"}</t>
        </is>
      </c>
      <c r="H131" s="13" t="inlineStr">
        <is>
          <t>1. Check the precondition and run the setup SQL
2. Prepare the input: ComplianceRuleBinding row naming another group
3. Run the job
4. Run the verification SQL (replace &lt;batch&gt;, &lt;table&gt;)
5. Compare with the expected result and record the outcome</t>
        </is>
      </c>
      <c r="I131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31" s="13" t="inlineStr">
        <is>
          <t>That group runs instead</t>
        </is>
      </c>
      <c r="K131" s="15" t="inlineStr">
        <is>
          <t>Not Run</t>
        </is>
      </c>
      <c r="L131" s="15" t="inlineStr"/>
      <c r="M131" s="15" t="inlineStr"/>
      <c r="N131" s="15" t="inlineStr"/>
      <c r="O131" s="15" t="inlineStr"/>
      <c r="P131" s="15" t="inlineStr"/>
      <c r="Q131" s="15" t="inlineStr"/>
    </row>
    <row r="132">
      <c r="A132" s="12" t="inlineStr">
        <is>
          <t>RU-14</t>
        </is>
      </c>
      <c r="B132" s="13" t="inlineStr">
        <is>
          <t>Data quality rules</t>
        </is>
      </c>
      <c r="C132" s="13" t="inlineStr">
        <is>
          <t>One at a time</t>
        </is>
      </c>
      <c r="D132" s="13" t="inlineStr">
        <is>
          <t>Two FILE_RULES runs at once</t>
        </is>
      </c>
      <c r="E132" s="13" t="inlineStr">
        <is>
          <t>Runs after EXPORT_LOAD (or trigger FILE_RULES with {"project":"CMSUNIV"}). Check the task log, Q4 Rules_Stat, Q9.</t>
        </is>
      </c>
      <c r="F132" s="14" t="inlineStr"/>
      <c r="G132" s="13" t="inlineStr">
        <is>
          <t>Trigger DAG OSSTD_CORE_CMS_COMPLIANCE_FILE_RULES twice</t>
        </is>
      </c>
      <c r="H132" s="13" t="inlineStr">
        <is>
          <t>1. Check the precondition
2. Prepare the input: Two FILE_RULES runs at once
3. Run the job
4. Run the verification SQL (replace &lt;batch&gt;, &lt;table&gt;)
5. Compare with the expected result and record the outcome</t>
        </is>
      </c>
      <c r="I132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32" s="13" t="inlineStr">
        <is>
          <t>Second waits for the gre_rules pool slot</t>
        </is>
      </c>
      <c r="K132" s="15" t="inlineStr">
        <is>
          <t>Not Run</t>
        </is>
      </c>
      <c r="L132" s="15" t="inlineStr"/>
      <c r="M132" s="15" t="inlineStr"/>
      <c r="N132" s="15" t="inlineStr"/>
      <c r="O132" s="15" t="inlineStr"/>
      <c r="P132" s="15" t="inlineStr"/>
      <c r="Q132" s="15" t="inlineStr"/>
    </row>
    <row r="133">
      <c r="A133" s="12" t="inlineStr">
        <is>
          <t>RU-15</t>
        </is>
      </c>
      <c r="B133" s="13" t="inlineStr">
        <is>
          <t>Data quality rules</t>
        </is>
      </c>
      <c r="C133" s="13" t="inlineStr">
        <is>
          <t>Per table group</t>
        </is>
      </c>
      <c r="D133" s="13" t="inlineStr">
        <is>
          <t>FILE_RULES Variable runs per table group</t>
        </is>
      </c>
      <c r="E133" s="13" t="inlineStr">
        <is>
          <t>Runs after EXPORT_LOAD (or trigger FILE_RULES with {"project":"CMSUNIV"}). Check the task log, Q4 Rules_Stat, Q9.</t>
        </is>
      </c>
      <c r="F133" s="14" t="inlineStr">
        <is>
          <t>Variable compliance_file_rules_config_var: add
"runs": [{"table_group": "ODAG"}, {"table_group": "CDAG"}, {"table_group": "FA"}, {"table_group": "SNPCC"}]</t>
        </is>
      </c>
      <c r="G133" s="13" t="inlineStr">
        <is>
          <t>Airflow DAG OSSTD_CORE_CMS_COMPLIANCE_EXPORT_LOAD
Trigger DAG w/ config:
{"project": "CMSUNIV"}
(starts FILE_RULES and waits), or DAG OSSTD_CORE_CMS_COMPLIANCE_FILE_RULES with {"project": "CMSUNIV"}</t>
        </is>
      </c>
      <c r="H133" s="13" t="inlineStr">
        <is>
          <t>1. Check the precondition and run the setup SQL
2. Prepare the input: FILE_RULES Variable runs per table group
3. Run the job
4. Run the verification SQL (replace &lt;batch&gt;, &lt;table&gt;)
5. Compare with the expected result and record the outcome</t>
        </is>
      </c>
      <c r="I133" s="14" t="inlineStr">
        <is>
          <t>SELECT Load_ID, Btch_ID, Load_Stat, Rules_Stat FROM HSABC_DEV.ComplianceFileLoad WHERE Btch_ID = '&lt;batch&gt;';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33" s="13" t="inlineStr">
        <is>
          <t>One task per group in the same DAG run</t>
        </is>
      </c>
      <c r="K133" s="15" t="inlineStr">
        <is>
          <t>Not Run</t>
        </is>
      </c>
      <c r="L133" s="15" t="inlineStr"/>
      <c r="M133" s="15" t="inlineStr"/>
      <c r="N133" s="15" t="inlineStr"/>
      <c r="O133" s="15" t="inlineStr"/>
      <c r="P133" s="15" t="inlineStr"/>
      <c r="Q133" s="15" t="inlineStr"/>
    </row>
    <row r="134">
      <c r="A134" s="12" t="inlineStr">
        <is>
          <t>CL-01</t>
        </is>
      </c>
      <c r="B134" s="13" t="inlineStr">
        <is>
          <t>Batch close</t>
        </is>
      </c>
      <c r="C134" s="13" t="inlineStr">
        <is>
          <t>With data</t>
        </is>
      </c>
      <c r="D134" s="13" t="inlineStr">
        <is>
          <t>Batch before: SOURCE_DATA_READY</t>
        </is>
      </c>
      <c r="E134" s="13" t="inlineStr">
        <is>
          <t>Trigger BATCH_CLOSE on / after the close date. Check Q1 / Q2 / Q5.</t>
        </is>
      </c>
      <c r="F134" s="14" t="inlineStr"/>
      <c r="G134" s="13" t="inlineStr">
        <is>
          <t>Airflow DAG OSSTD_CORE_CMS_COMPLIANCE_BATCH_CLOSE
Trigger DAG w/ config:
{"project": "CMSUNIV"}</t>
        </is>
      </c>
      <c r="H134" s="13" t="inlineStr">
        <is>
          <t>1. Check the precondition
2. Prepare the input: Batch before: SOURCE_DATA_READY
3. Run the job
4. Run the verification SQL (replace &lt;batch&gt;, &lt;table&gt;)
5. Compare with the expected result and record the outcome</t>
        </is>
      </c>
      <c r="I134" s="14" t="inlineStr">
        <is>
          <t>SELECT Btch_ID, Src_ID, Req_Stat, Resolution_Ty, Batch_Close_Ind, Reuse_Btch_ID, Rpt_Start_Dt_Key, Rpt_End_Dt_Key
FROM HSABC_DEV.ComplianceRequestControl WHERE Btch_ID = '&lt;batch&gt;' ORDER BY Src_ID;
SELECT Event_ID, Event_Ty, Sevrty, Src_ID, Load_ID, Event_Txt, Notified_Ind
FROM HSABC_DEV.CMS_ComplianceExceptionsAudit WHERE Btch_ID = '&lt;batch&gt;' ORDER BY Event_ID;</t>
        </is>
      </c>
      <c r="J134" s="13" t="inlineStr">
        <is>
          <t>REQUEST_COMPLETE / NEW_FILE, Batch_Close_Ind = 1, BATCH_CLOSED</t>
        </is>
      </c>
      <c r="K134" s="15" t="inlineStr">
        <is>
          <t>Not Run</t>
        </is>
      </c>
      <c r="L134" s="15" t="inlineStr"/>
      <c r="M134" s="15" t="inlineStr"/>
      <c r="N134" s="15" t="inlineStr"/>
      <c r="O134" s="15" t="inlineStr"/>
      <c r="P134" s="15" t="inlineStr"/>
      <c r="Q134" s="15" t="inlineStr"/>
    </row>
    <row r="135">
      <c r="A135" s="12" t="inlineStr">
        <is>
          <t>CL-02</t>
        </is>
      </c>
      <c r="B135" s="13" t="inlineStr">
        <is>
          <t>Batch close</t>
        </is>
      </c>
      <c r="C135" s="13" t="inlineStr">
        <is>
          <t>No data from source</t>
        </is>
      </c>
      <c r="D135" s="13" t="inlineStr">
        <is>
          <t>Batch before: SOURCE_DATA_READY_NO_DATA</t>
        </is>
      </c>
      <c r="E135" s="13" t="inlineStr">
        <is>
          <t>Trigger BATCH_CLOSE on / after the close date. Check Q1 / Q2 / Q5.</t>
        </is>
      </c>
      <c r="F135" s="14" t="inlineStr"/>
      <c r="G135" s="13" t="inlineStr">
        <is>
          <t>Airflow DAG OSSTD_CORE_CMS_COMPLIANCE_BATCH_CLOSE
Trigger DAG w/ config:
{"project": "CMSUNIV"}</t>
        </is>
      </c>
      <c r="H135" s="13" t="inlineStr">
        <is>
          <t>1. Check the precondition
2. Prepare the input: Batch before: SOURCE_DATA_READY_NO_DATA
3. Run the job
4. Run the verification SQL (replace &lt;batch&gt;, &lt;table&gt;)
5. Compare with the expected result and record the outcome</t>
        </is>
      </c>
      <c r="I135" s="14" t="inlineStr">
        <is>
          <t>SELECT Btch_ID, Src_ID, Req_Stat, Resolution_Ty, Batch_Close_Ind, Reuse_Btch_ID, Rpt_Start_Dt_Key, Rpt_End_Dt_Key
FROM HSABC_DEV.ComplianceRequestControl WHERE Btch_ID = '&lt;batch&gt;' ORDER BY Src_ID;
SELECT Event_ID, Event_Ty, Sevrty, Src_ID, Load_ID, Event_Txt, Notified_Ind
FROM HSABC_DEV.CMS_ComplianceExceptionsAudit WHERE Btch_ID = '&lt;batch&gt;' ORDER BY Event_ID;</t>
        </is>
      </c>
      <c r="J135" s="13" t="inlineStr">
        <is>
          <t>DATA_NOT_PROVIDED / NO_DATA; no alert</t>
        </is>
      </c>
      <c r="K135" s="15" t="inlineStr">
        <is>
          <t>Not Run</t>
        </is>
      </c>
      <c r="L135" s="15" t="inlineStr"/>
      <c r="M135" s="15" t="inlineStr"/>
      <c r="N135" s="15" t="inlineStr"/>
      <c r="O135" s="15" t="inlineStr"/>
      <c r="P135" s="15" t="inlineStr"/>
      <c r="Q135" s="15" t="inlineStr"/>
    </row>
    <row r="136">
      <c r="A136" s="12" t="inlineStr">
        <is>
          <t>CL-03</t>
        </is>
      </c>
      <c r="B136" s="13" t="inlineStr">
        <is>
          <t>Batch close</t>
        </is>
      </c>
      <c r="C136" s="13" t="inlineStr">
        <is>
          <t>Nothing arrived</t>
        </is>
      </c>
      <c r="D136" s="13" t="inlineStr">
        <is>
          <t>Batch before: REQUEST_CREATED</t>
        </is>
      </c>
      <c r="E136" s="13" t="inlineStr">
        <is>
          <t>Trigger BATCH_CLOSE on / after the close date. Check Q1 / Q2 / Q5.</t>
        </is>
      </c>
      <c r="F136" s="14" t="inlineStr"/>
      <c r="G136" s="13" t="inlineStr">
        <is>
          <t>Airflow DAG OSSTD_CORE_CMS_COMPLIANCE_BATCH_CLOSE
Trigger DAG w/ config:
{"project": "CMSUNIV"}</t>
        </is>
      </c>
      <c r="H136" s="13" t="inlineStr">
        <is>
          <t>1. Check the precondition
2. Prepare the input: Batch before: REQUEST_CREATED
3. Run the job
4. Run the verification SQL (replace &lt;batch&gt;, &lt;table&gt;)
5. Compare with the expected result and record the outcome</t>
        </is>
      </c>
      <c r="I136" s="14" t="inlineStr">
        <is>
          <t>SELECT Btch_ID, Src_ID, Req_Stat, Resolution_Ty, Batch_Close_Ind, Reuse_Btch_ID, Rpt_Start_Dt_Key, Rpt_End_Dt_Key
FROM HSABC_DEV.ComplianceRequestControl WHERE Btch_ID = '&lt;batch&gt;' ORDER BY Src_ID;
SELECT Event_ID, Event_Ty, Sevrty, Src_ID, Load_ID, Event_Txt, Notified_Ind
FROM HSABC_DEV.CMS_ComplianceExceptionsAudit WHERE Btch_ID = '&lt;batch&gt;' ORDER BY Event_ID;</t>
        </is>
      </c>
      <c r="J136" s="13" t="inlineStr">
        <is>
          <t>DATA_NOT_PROVIDED / MISSING; SOURCE_MISSING_AT_CLOSE emailed</t>
        </is>
      </c>
      <c r="K136" s="15" t="inlineStr">
        <is>
          <t>Not Run</t>
        </is>
      </c>
      <c r="L136" s="15" t="inlineStr"/>
      <c r="M136" s="15" t="inlineStr"/>
      <c r="N136" s="15" t="inlineStr"/>
      <c r="O136" s="15" t="inlineStr"/>
      <c r="P136" s="15" t="inlineStr"/>
      <c r="Q136" s="15" t="inlineStr"/>
    </row>
    <row r="137">
      <c r="A137" s="12" t="inlineStr">
        <is>
          <t>CL-04</t>
        </is>
      </c>
      <c r="B137" s="13" t="inlineStr">
        <is>
          <t>Batch close</t>
        </is>
      </c>
      <c r="C137" s="13" t="inlineStr">
        <is>
          <t>Carried forward</t>
        </is>
      </c>
      <c r="D137" s="13" t="inlineStr">
        <is>
          <t>Batch before: SOURCE_DATA_CARRY_FORWARD</t>
        </is>
      </c>
      <c r="E137" s="13" t="inlineStr">
        <is>
          <t>Trigger BATCH_CLOSE on / after the close date. Check Q1 / Q2 / Q5.</t>
        </is>
      </c>
      <c r="F137" s="14" t="inlineStr"/>
      <c r="G137" s="13" t="inlineStr">
        <is>
          <t>Airflow DAG OSSTD_CORE_CMS_COMPLIANCE_BATCH_CLOSE
Trigger DAG w/ config:
{"project": "CMSUNIV"}</t>
        </is>
      </c>
      <c r="H137" s="13" t="inlineStr">
        <is>
          <t>1. Check the precondition
2. Prepare the input: Batch before: SOURCE_DATA_CARRY_FORWARD
3. Run the job
4. Run the verification SQL (replace &lt;batch&gt;, &lt;table&gt;)
5. Compare with the expected result and record the outcome</t>
        </is>
      </c>
      <c r="I137" s="14" t="inlineStr">
        <is>
          <t>SELECT Btch_ID, Src_ID, Req_Stat, Resolution_Ty, Batch_Close_Ind, Reuse_Btch_ID, Rpt_Start_Dt_Key, Rpt_End_Dt_Key
FROM HSABC_DEV.ComplianceRequestControl WHERE Btch_ID = '&lt;batch&gt;' ORDER BY Src_ID;
SELECT Event_ID, Event_Ty, Sevrty, Src_ID, Load_ID, Event_Txt, Notified_Ind
FROM HSABC_DEV.CMS_ComplianceExceptionsAudit WHERE Btch_ID = '&lt;batch&gt;' ORDER BY Event_ID;</t>
        </is>
      </c>
      <c r="J137" s="13" t="inlineStr">
        <is>
          <t>REQUEST_COMPLETE / CARRY_FORWARD</t>
        </is>
      </c>
      <c r="K137" s="15" t="inlineStr">
        <is>
          <t>Not Run</t>
        </is>
      </c>
      <c r="L137" s="15" t="inlineStr"/>
      <c r="M137" s="15" t="inlineStr"/>
      <c r="N137" s="15" t="inlineStr"/>
      <c r="O137" s="15" t="inlineStr"/>
      <c r="P137" s="15" t="inlineStr"/>
      <c r="Q137" s="15" t="inlineStr"/>
    </row>
    <row r="138">
      <c r="A138" s="12" t="inlineStr">
        <is>
          <t>CL-05</t>
        </is>
      </c>
      <c r="B138" s="13" t="inlineStr">
        <is>
          <t>Batch close</t>
        </is>
      </c>
      <c r="C138" s="13" t="inlineStr">
        <is>
          <t>Not yet due</t>
        </is>
      </c>
      <c r="D138" s="13" t="inlineStr">
        <is>
          <t>Batch before: WKLY before Friday</t>
        </is>
      </c>
      <c r="E138" s="13" t="inlineStr">
        <is>
          <t>Trigger BATCH_CLOSE on / after the close date. Check Q1 / Q2 / Q5.</t>
        </is>
      </c>
      <c r="F138" s="14" t="inlineStr"/>
      <c r="G138" s="13" t="inlineStr">
        <is>
          <t>Airflow DAG OSSTD_CORE_CMS_COMPLIANCE_BATCH_CLOSE
Trigger DAG w/ config:
{"project": "CMSUNIV"}</t>
        </is>
      </c>
      <c r="H138" s="13" t="inlineStr">
        <is>
          <t>1. Check the precondition
2. Prepare the input: Batch before: WKLY before Friday
3. Run the job
4. Run the verification SQL (replace &lt;batch&gt;, &lt;table&gt;)
5. Compare with the expected result and record the outcome</t>
        </is>
      </c>
      <c r="I138" s="14" t="inlineStr">
        <is>
          <t>SELECT Btch_ID, Src_ID, Req_Stat, Resolution_Ty, Batch_Close_Ind, Reuse_Btch_ID, Rpt_Start_Dt_Key, Rpt_End_Dt_Key
FROM HSABC_DEV.ComplianceRequestControl WHERE Btch_ID = '&lt;batch&gt;' ORDER BY Src_ID;
SELECT Event_ID, Event_Ty, Sevrty, Src_ID, Load_ID, Event_Txt, Notified_Ind
FROM HSABC_DEV.CMS_ComplianceExceptionsAudit WHERE Btch_ID = '&lt;batch&gt;' ORDER BY Event_ID;</t>
        </is>
      </c>
      <c r="J138" s="13" t="inlineStr">
        <is>
          <t>Stays open</t>
        </is>
      </c>
      <c r="K138" s="15" t="inlineStr">
        <is>
          <t>Not Run</t>
        </is>
      </c>
      <c r="L138" s="15" t="inlineStr"/>
      <c r="M138" s="15" t="inlineStr"/>
      <c r="N138" s="15" t="inlineStr"/>
      <c r="O138" s="15" t="inlineStr"/>
      <c r="P138" s="15" t="inlineStr"/>
      <c r="Q138" s="15" t="inlineStr"/>
    </row>
    <row r="139">
      <c r="A139" s="12" t="inlineStr">
        <is>
          <t>CL-06</t>
        </is>
      </c>
      <c r="B139" s="13" t="inlineStr">
        <is>
          <t>Batch close</t>
        </is>
      </c>
      <c r="C139" s="13" t="inlineStr">
        <is>
          <t>Busy batch</t>
        </is>
      </c>
      <c r="D139" s="13" t="inlineStr">
        <is>
          <t>Batch before: Close while a load holds the batch</t>
        </is>
      </c>
      <c r="E139" s="13" t="inlineStr">
        <is>
          <t>Trigger BATCH_CLOSE on / after the close date. Check Q1 / Q2 / Q5.</t>
        </is>
      </c>
      <c r="F139" s="14" t="inlineStr"/>
      <c r="G139" s="13" t="inlineStr">
        <is>
          <t>Airflow DAG OSSTD_CORE_CMS_COMPLIANCE_BATCH_CLOSE
Trigger DAG w/ config:
{"project": "CMSUNIV"}</t>
        </is>
      </c>
      <c r="H139" s="13" t="inlineStr">
        <is>
          <t>1. Check the precondition
2. Prepare the input: Batch before: Close while a load holds the batch
3. Run the job
4. Run the verification SQL (replace &lt;batch&gt;, &lt;table&gt;)
5. Compare with the expected result and record the outcome</t>
        </is>
      </c>
      <c r="I139" s="14" t="inlineStr">
        <is>
          <t>SELECT Btch_ID, Src_ID, Req_Stat, Resolution_Ty, Batch_Close_Ind, Reuse_Btch_ID, Rpt_Start_Dt_Key, Rpt_End_Dt_Key
FROM HSABC_DEV.ComplianceRequestControl WHERE Btch_ID = '&lt;batch&gt;' ORDER BY Src_ID;
SELECT Event_ID, Event_Ty, Sevrty, Src_ID, Load_ID, Event_Txt, Notified_Ind
FROM HSABC_DEV.CMS_ComplianceExceptionsAudit WHERE Btch_ID = '&lt;batch&gt;' ORDER BY Event_ID;</t>
        </is>
      </c>
      <c r="J139" s="13" t="inlineStr">
        <is>
          <t>Stays open, BATCH_CLOSE_DEFERRED_LOCKED; closed next run</t>
        </is>
      </c>
      <c r="K139" s="15" t="inlineStr">
        <is>
          <t>Not Run</t>
        </is>
      </c>
      <c r="L139" s="15" t="inlineStr"/>
      <c r="M139" s="15" t="inlineStr"/>
      <c r="N139" s="15" t="inlineStr"/>
      <c r="O139" s="15" t="inlineStr"/>
      <c r="P139" s="15" t="inlineStr"/>
      <c r="Q139" s="15" t="inlineStr"/>
    </row>
    <row r="140">
      <c r="A140" s="12" t="inlineStr">
        <is>
          <t>CL-07</t>
        </is>
      </c>
      <c r="B140" s="13" t="inlineStr">
        <is>
          <t>Batch close</t>
        </is>
      </c>
      <c r="C140" s="13" t="inlineStr">
        <is>
          <t>Hold</t>
        </is>
      </c>
      <c r="D140" s="13" t="inlineStr">
        <is>
          <t>Batch before: {"hold":"WKLY"}</t>
        </is>
      </c>
      <c r="E140" s="13" t="inlineStr">
        <is>
          <t>Trigger BATCH_CLOSE on / after the close date. Check Q1 / Q2 / Q5.</t>
        </is>
      </c>
      <c r="F140" s="14" t="inlineStr"/>
      <c r="G140" s="13" t="inlineStr">
        <is>
          <t>Airflow DAG OSSTD_CORE_CMS_COMPLIANCE_BATCH_CLOSE
Trigger DAG w/ config:
{"project": "CMSUNIV", "hold": "WKLY"}</t>
        </is>
      </c>
      <c r="H140" s="13" t="inlineStr">
        <is>
          <t>1. Check the precondition
2. Prepare the input: Batch before: {"hold":"WKLY"}
3. Run the job
4. Run the verification SQL (replace &lt;batch&gt;, &lt;table&gt;)
5. Compare with the expected result and record the outcome</t>
        </is>
      </c>
      <c r="I140" s="14" t="inlineStr">
        <is>
          <t>SELECT Btch_ID, Src_ID, Req_Stat, Resolution_Ty, Batch_Close_Ind, Reuse_Btch_ID, Rpt_Start_Dt_Key, Rpt_End_Dt_Key
FROM HSABC_DEV.ComplianceRequestControl WHERE Btch_ID = '&lt;batch&gt;' ORDER BY Src_ID;
SELECT Event_ID, Event_Ty, Sevrty, Src_ID, Load_ID, Event_Txt, Notified_Ind
FROM HSABC_DEV.CMS_ComplianceExceptionsAudit WHERE Btch_ID = '&lt;batch&gt;' ORDER BY Event_ID;</t>
        </is>
      </c>
      <c r="J140" s="13" t="inlineStr">
        <is>
          <t>WKLY stays open</t>
        </is>
      </c>
      <c r="K140" s="15" t="inlineStr">
        <is>
          <t>Not Run</t>
        </is>
      </c>
      <c r="L140" s="15" t="inlineStr"/>
      <c r="M140" s="15" t="inlineStr"/>
      <c r="N140" s="15" t="inlineStr"/>
      <c r="O140" s="15" t="inlineStr"/>
      <c r="P140" s="15" t="inlineStr"/>
      <c r="Q140" s="15" t="inlineStr"/>
    </row>
    <row r="141">
      <c r="A141" s="12" t="inlineStr">
        <is>
          <t>CL-08</t>
        </is>
      </c>
      <c r="B141" s="13" t="inlineStr">
        <is>
          <t>Batch close</t>
        </is>
      </c>
      <c r="C141" s="13" t="inlineStr">
        <is>
          <t>IN1</t>
        </is>
      </c>
      <c r="D141" s="13" t="inlineStr">
        <is>
          <t>Batch before: IN1 batch next day</t>
        </is>
      </c>
      <c r="E141" s="13" t="inlineStr">
        <is>
          <t>Trigger BATCH_CLOSE on / after the close date. Check Q1 / Q2 / Q5.</t>
        </is>
      </c>
      <c r="F141" s="14" t="inlineStr"/>
      <c r="G141" s="13" t="inlineStr">
        <is>
          <t>Airflow DAG OSSTD_CORE_CMS_COMPLIANCE_BATCH_CLOSE
Trigger DAG w/ config:
{"project": "CMSUNIV"}</t>
        </is>
      </c>
      <c r="H141" s="13" t="inlineStr">
        <is>
          <t>1. Check the precondition
2. Prepare the input: Batch before: IN1 batch next day
3. Run the job
4. Run the verification SQL (replace &lt;batch&gt;, &lt;table&gt;)
5. Compare with the expected result and record the outcome</t>
        </is>
      </c>
      <c r="I141" s="14" t="inlineStr">
        <is>
          <t>SELECT Btch_ID, Src_ID, Req_Stat, Resolution_Ty, Batch_Close_Ind, Reuse_Btch_ID, Rpt_Start_Dt_Key, Rpt_End_Dt_Key
FROM HSABC_DEV.ComplianceRequestControl WHERE Btch_ID = '&lt;batch&gt;' ORDER BY Src_ID;
SELECT Event_ID, Event_Ty, Sevrty, Src_ID, Load_ID, Event_Txt, Notified_Ind
FROM HSABC_DEV.CMS_ComplianceExceptionsAudit WHERE Btch_ID = '&lt;batch&gt;' ORDER BY Event_ID;</t>
        </is>
      </c>
      <c r="J141" s="13" t="inlineStr">
        <is>
          <t>DATA_NOT_PROVIDED / MISSING, one alert a day</t>
        </is>
      </c>
      <c r="K141" s="15" t="inlineStr">
        <is>
          <t>Not Run</t>
        </is>
      </c>
      <c r="L141" s="15" t="inlineStr"/>
      <c r="M141" s="15" t="inlineStr"/>
      <c r="N141" s="15" t="inlineStr"/>
      <c r="O141" s="15" t="inlineStr"/>
      <c r="P141" s="15" t="inlineStr"/>
      <c r="Q141" s="15" t="inlineStr"/>
    </row>
    <row r="142">
      <c r="A142" s="12" t="inlineStr">
        <is>
          <t>CL-09</t>
        </is>
      </c>
      <c r="B142" s="13" t="inlineStr">
        <is>
          <t>Batch close</t>
        </is>
      </c>
      <c r="C142" s="13" t="inlineStr">
        <is>
          <t>Chain</t>
        </is>
      </c>
      <c r="D142" s="13" t="inlineStr">
        <is>
          <t>Batch before: BATCH_CLOSE succeeds</t>
        </is>
      </c>
      <c r="E142" s="13" t="inlineStr">
        <is>
          <t>Trigger BATCH_CLOSE on / after the close date. Check Q1 / Q2 / Q5.</t>
        </is>
      </c>
      <c r="F142" s="14" t="inlineStr"/>
      <c r="G142" s="13" t="inlineStr">
        <is>
          <t>Airflow DAG OSSTD_CORE_CMS_COMPLIANCE_BATCH_CLOSE
Trigger DAG w/ config:
{"project": "CMSUNIV"}</t>
        </is>
      </c>
      <c r="H142" s="13" t="inlineStr">
        <is>
          <t>1. Check the precondition
2. Prepare the input: Batch before: BATCH_CLOSE succeeds
3. Run the job
4. Run the verification SQL (replace &lt;batch&gt;, &lt;table&gt;)
5. Compare with the expected result and record the outcome</t>
        </is>
      </c>
      <c r="I142" s="14" t="inlineStr">
        <is>
          <t>SELECT Btch_ID, Src_ID, Req_Stat, Resolution_Ty, Batch_Close_Ind, Reuse_Btch_ID, Rpt_Start_Dt_Key, Rpt_End_Dt_Key
FROM HSABC_DEV.ComplianceRequestControl WHERE Btch_ID = '&lt;batch&gt;' ORDER BY Src_ID;
SELECT Event_ID, Event_Ty, Sevrty, Src_ID, Load_ID, Event_Txt, Notified_Ind
FROM HSABC_DEV.CMS_ComplianceExceptionsAudit WHERE Btch_ID = '&lt;batch&gt;' ORDER BY Event_ID;</t>
        </is>
      </c>
      <c r="J142" s="13" t="inlineStr">
        <is>
          <t>BATCH_CREATION and NOTIFY triggered</t>
        </is>
      </c>
      <c r="K142" s="15" t="inlineStr">
        <is>
          <t>Not Run</t>
        </is>
      </c>
      <c r="L142" s="15" t="inlineStr"/>
      <c r="M142" s="15" t="inlineStr"/>
      <c r="N142" s="15" t="inlineStr"/>
      <c r="O142" s="15" t="inlineStr"/>
      <c r="P142" s="15" t="inlineStr"/>
      <c r="Q142" s="15" t="inlineStr"/>
    </row>
    <row r="143">
      <c r="A143" s="12" t="inlineStr">
        <is>
          <t>CL-10</t>
        </is>
      </c>
      <c r="B143" s="13" t="inlineStr">
        <is>
          <t>Batch close</t>
        </is>
      </c>
      <c r="C143" s="13" t="inlineStr">
        <is>
          <t>Manual close</t>
        </is>
      </c>
      <c r="D143" s="13" t="inlineStr">
        <is>
          <t>Batch before: close-batch --btch-id &lt;batch&gt; --closed-by &lt;you&gt; (optionally --src-id)</t>
        </is>
      </c>
      <c r="E143" s="13" t="inlineStr">
        <is>
          <t>Trigger BATCH_CLOSE on / after the close date. Check Q1 / Q2 / Q5.</t>
        </is>
      </c>
      <c r="F143" s="14" t="inlineStr"/>
      <c r="G143" s="13" t="inlineStr">
        <is>
          <t>Worker shell (TERADATA_* and FRAMEWORK_METADATA_SCHEMA=HSABC_DEV set):
python -m compliance_framework.cli close-batch --btch-id &lt;batch&gt; --closed-by &lt;you&gt; [--src-id &lt;source&gt;]</t>
        </is>
      </c>
      <c r="H143" s="13" t="inlineStr">
        <is>
          <t>1. Check the precondition
2. Prepare the input: Batch before: close-batch --btch-id &lt;batch&gt; --closed-by &lt;you&gt; (optionally --src-id)
3. Run the job
4. Run the verification SQL (replace &lt;batch&gt;, &lt;table&gt;)
5. Compare with the expected result and record the outcome</t>
        </is>
      </c>
      <c r="I143" s="14" t="inlineStr">
        <is>
          <t>SELECT Btch_ID, Src_ID, Req_Stat, Resolution_Ty, Batch_Close_Ind, Reuse_Btch_ID, Rpt_Start_Dt_Key, Rpt_End_Dt_Key
FROM HSABC_DEV.ComplianceRequestControl WHERE Btch_ID = '&lt;batch&gt;' ORDER BY Src_ID;
SELECT Event_ID, Event_Ty, Sevrty, Src_ID, Load_ID, Event_Txt, Notified_Ind
FROM HSABC_DEV.CMS_ComplianceExceptionsAudit WHERE Btch_ID = '&lt;batch&gt;' ORDER BY Event_ID;</t>
        </is>
      </c>
      <c r="J143" s="13" t="inlineStr">
        <is>
          <t>Closed; recorded with your name</t>
        </is>
      </c>
      <c r="K143" s="15" t="inlineStr">
        <is>
          <t>Not Run</t>
        </is>
      </c>
      <c r="L143" s="15" t="inlineStr"/>
      <c r="M143" s="15" t="inlineStr"/>
      <c r="N143" s="15" t="inlineStr"/>
      <c r="O143" s="15" t="inlineStr"/>
      <c r="P143" s="15" t="inlineStr"/>
      <c r="Q143" s="15" t="inlineStr"/>
    </row>
    <row r="144">
      <c r="A144" s="12" t="inlineStr">
        <is>
          <t>NT-01</t>
        </is>
      </c>
      <c r="B144" s="13" t="inlineStr">
        <is>
          <t>Notifications</t>
        </is>
      </c>
      <c r="C144" s="13" t="inlineStr">
        <is>
          <t>Alerts sent</t>
        </is>
      </c>
      <c r="D144" s="13" t="inlineStr">
        <is>
          <t>After cases raising alerts, run NOTIFY</t>
        </is>
      </c>
      <c r="E144" s="13" t="inlineStr"/>
      <c r="F144" s="14" t="inlineStr"/>
      <c r="G144" s="13" t="inlineStr">
        <is>
          <t>Airflow DAG OSSTD_CORE_CMS_COMPLIANCE_NOTIFY
Trigger DAG w/ config:
{}</t>
        </is>
      </c>
      <c r="H144" s="13" t="inlineStr">
        <is>
          <t>1. Check the precondition
2. Prepare the input: After cases raising alerts, run NOTIFY
3. Run the job
4. Run the verification SQL (replace &lt;batch&gt;, &lt;table&gt;)
5. Compare with the expected result and record the outcome</t>
        </is>
      </c>
      <c r="I144" s="14" t="inlineStr">
        <is>
          <t>SELECT Event_ID, Event_Ty, Btch_ID, Event_Dtts FROM HSABC_DEV.CMS_ComplianceExceptionsAudit WHERE Notified_Ind = 0 ORDER BY Event_ID;</t>
        </is>
      </c>
      <c r="J144" s="13" t="inlineStr">
        <is>
          <t>One email per unsent event to email_recipient, subject [ERROR] &lt;Event_Ty&gt;, body with ids and codes (no member data); Notified_Ind = 1 (Q11 empty)</t>
        </is>
      </c>
      <c r="K144" s="15" t="inlineStr">
        <is>
          <t>Not Run</t>
        </is>
      </c>
      <c r="L144" s="15" t="inlineStr"/>
      <c r="M144" s="15" t="inlineStr"/>
      <c r="N144" s="15" t="inlineStr"/>
      <c r="O144" s="15" t="inlineStr"/>
      <c r="P144" s="15" t="inlineStr"/>
      <c r="Q144" s="15" t="inlineStr"/>
    </row>
    <row r="145">
      <c r="A145" s="12" t="inlineStr">
        <is>
          <t>NT-02</t>
        </is>
      </c>
      <c r="B145" s="13" t="inlineStr">
        <is>
          <t>Notifications</t>
        </is>
      </c>
      <c r="C145" s="13" t="inlineStr">
        <is>
          <t>Not emailed events</t>
        </is>
      </c>
      <c r="D145" s="13" t="inlineStr">
        <is>
          <t>FILE_CHECK_PASSED, BATCH_CLOSE_DEFERRED_LOCKED</t>
        </is>
      </c>
      <c r="E145" s="13" t="inlineStr"/>
      <c r="F145" s="14" t="inlineStr"/>
      <c r="G145" s="13" t="inlineStr">
        <is>
          <t>Airflow DAG OSSTD_CORE_CMS_COMPLIANCE_NOTIFY
Trigger DAG w/ config:
{}</t>
        </is>
      </c>
      <c r="H145" s="13" t="inlineStr">
        <is>
          <t>1. Check the precondition
2. Prepare the input: FILE_CHECK_PASSED, BATCH_CLOSE_DEFERRED_LOCKED
3. Run the job
4. Run the verification SQL (replace &lt;batch&gt;, &lt;table&gt;)
5. Compare with the expected result and record the outcome</t>
        </is>
      </c>
      <c r="I145" s="14" t="inlineStr">
        <is>
          <t>SELECT Event_ID, Event_Ty, Btch_ID, Event_Dtts FROM HSABC_DEV.CMS_ComplianceExceptionsAudit WHERE Notified_Ind = 0 ORDER BY Event_ID;</t>
        </is>
      </c>
      <c r="J145" s="13" t="inlineStr">
        <is>
          <t>Not emailed</t>
        </is>
      </c>
      <c r="K145" s="15" t="inlineStr">
        <is>
          <t>Not Run</t>
        </is>
      </c>
      <c r="L145" s="15" t="inlineStr"/>
      <c r="M145" s="15" t="inlineStr"/>
      <c r="N145" s="15" t="inlineStr"/>
      <c r="O145" s="15" t="inlineStr"/>
      <c r="P145" s="15" t="inlineStr"/>
      <c r="Q145" s="15" t="inlineStr"/>
    </row>
    <row r="146">
      <c r="A146" s="12" t="inlineStr">
        <is>
          <t>NT-03</t>
        </is>
      </c>
      <c r="B146" s="13" t="inlineStr">
        <is>
          <t>Notifications</t>
        </is>
      </c>
      <c r="C146" s="13" t="inlineStr">
        <is>
          <t>Send failure</t>
        </is>
      </c>
      <c r="D146" s="13" t="inlineStr">
        <is>
          <t>Break smtp_default</t>
        </is>
      </c>
      <c r="E146" s="13" t="inlineStr"/>
      <c r="F146" s="14" t="inlineStr">
        <is>
          <t>Airflow Connection smtp_default: set a wrong host (restore after)</t>
        </is>
      </c>
      <c r="G146" s="13" t="inlineStr">
        <is>
          <t>Airflow DAG OSSTD_CORE_CMS_COMPLIANCE_NOTIFY
Trigger DAG w/ config:
{}</t>
        </is>
      </c>
      <c r="H146" s="13" t="inlineStr">
        <is>
          <t>1. Check the precondition and run the setup SQL
2. Prepare the input: Break smtp_default
3. Run the job
4. Run the verification SQL (replace &lt;batch&gt;, &lt;table&gt;)
5. Compare with the expected result and record the outcome</t>
        </is>
      </c>
      <c r="I146" s="14" t="inlineStr">
        <is>
          <t>SELECT Event_ID, Event_Ty, Btch_ID, Event_Dtts FROM HSABC_DEV.CMS_ComplianceExceptionsAudit WHERE Notified_Ind = 0 ORDER BY Event_ID;</t>
        </is>
      </c>
      <c r="J146" s="13" t="inlineStr">
        <is>
          <t>Events stay unsent; sent on the next run after the fix</t>
        </is>
      </c>
      <c r="K146" s="15" t="inlineStr">
        <is>
          <t>Not Run</t>
        </is>
      </c>
      <c r="L146" s="15" t="inlineStr"/>
      <c r="M146" s="15" t="inlineStr"/>
      <c r="N146" s="15" t="inlineStr"/>
      <c r="O146" s="15" t="inlineStr"/>
      <c r="P146" s="15" t="inlineStr"/>
      <c r="Q146" s="15" t="inlineStr"/>
    </row>
    <row r="147">
      <c r="A147" s="12" t="inlineStr">
        <is>
          <t>NT-04</t>
        </is>
      </c>
      <c r="B147" s="13" t="inlineStr">
        <is>
          <t>Notifications</t>
        </is>
      </c>
      <c r="C147" s="13" t="inlineStr">
        <is>
          <t>All projects</t>
        </is>
      </c>
      <c r="D147" s="13" t="inlineStr">
        <is>
          <t>NOTIFY Variable without project</t>
        </is>
      </c>
      <c r="E147" s="13" t="inlineStr"/>
      <c r="F147" s="14" t="inlineStr"/>
      <c r="G147" s="13" t="inlineStr">
        <is>
          <t>Airflow DAG OSSTD_CORE_CMS_COMPLIANCE_NOTIFY
Trigger DAG w/ config:
{}</t>
        </is>
      </c>
      <c r="H147" s="13" t="inlineStr">
        <is>
          <t>1. Check the precondition
2. Prepare the input: NOTIFY Variable without project
3. Run the job
4. Run the verification SQL (replace &lt;batch&gt;, &lt;table&gt;)
5. Compare with the expected result and record the outcome</t>
        </is>
      </c>
      <c r="I147" s="14" t="inlineStr">
        <is>
          <t>SELECT Event_ID, Event_Ty, Btch_ID, Event_Dtts FROM HSABC_DEV.CMS_ComplianceExceptionsAudit WHERE Notified_Ind = 0 ORDER BY Event_ID;</t>
        </is>
      </c>
      <c r="J147" s="13" t="inlineStr">
        <is>
          <t>Events of every project (and of none)</t>
        </is>
      </c>
      <c r="K147" s="15" t="inlineStr">
        <is>
          <t>Not Run</t>
        </is>
      </c>
      <c r="L147" s="15" t="inlineStr"/>
      <c r="M147" s="15" t="inlineStr"/>
      <c r="N147" s="15" t="inlineStr"/>
      <c r="O147" s="15" t="inlineStr"/>
      <c r="P147" s="15" t="inlineStr"/>
      <c r="Q147" s="15" t="inlineStr"/>
    </row>
    <row r="148">
      <c r="A148" s="12" t="inlineStr">
        <is>
          <t>NT-05</t>
        </is>
      </c>
      <c r="B148" s="13" t="inlineStr">
        <is>
          <t>Notifications</t>
        </is>
      </c>
      <c r="C148" s="13" t="inlineStr">
        <is>
          <t>DAG emails</t>
        </is>
      </c>
      <c r="D148" s="13" t="inlineStr">
        <is>
          <t>Any DAG success / failure</t>
        </is>
      </c>
      <c r="E148" s="13" t="inlineStr"/>
      <c r="F148" s="14" t="inlineStr"/>
      <c r="G148" s="13" t="inlineStr">
        <is>
          <t>Any DAG run (success and failure)</t>
        </is>
      </c>
      <c r="H148" s="13" t="inlineStr">
        <is>
          <t>1. Check the precondition
2. Prepare the input: Any DAG success / failure
3. Run the job
4. Check the task log / step report
5. Compare with the expected result and record the outcome</t>
        </is>
      </c>
      <c r="I148" s="14" t="inlineStr"/>
      <c r="J148" s="13" t="inlineStr">
        <is>
          <t>success_email / fail_email to email_recipient with the environment in the subject; failure also opens a ServiceNow incident</t>
        </is>
      </c>
      <c r="K148" s="15" t="inlineStr">
        <is>
          <t>Not Run</t>
        </is>
      </c>
      <c r="L148" s="15" t="inlineStr"/>
      <c r="M148" s="15" t="inlineStr"/>
      <c r="N148" s="15" t="inlineStr"/>
      <c r="O148" s="15" t="inlineStr"/>
      <c r="P148" s="15" t="inlineStr"/>
      <c r="Q148" s="15" t="inlineStr"/>
    </row>
    <row r="149">
      <c r="A149" s="12" t="inlineStr">
        <is>
          <t>AF-01</t>
        </is>
      </c>
      <c r="B149" s="13" t="inlineStr">
        <is>
          <t>Airflow behaviour</t>
        </is>
      </c>
      <c r="C149" s="13" t="inlineStr">
        <is>
          <t>Problem = no retry</t>
        </is>
      </c>
      <c r="D149" s="13" t="inlineStr">
        <is>
          <t>Rejected file (FL-04)</t>
        </is>
      </c>
      <c r="E149" s="13" t="inlineStr"/>
      <c r="F149" s="14" t="inlineStr"/>
      <c r="G149" s="13" t="inlineStr">
        <is>
          <t>Airflow DAG OSSTD_CORE_CMS_COMPLIANCE_FILE_LOAD
Trigger DAG w/ config:
{"project": "CMSUNIV"}
with a BAD_TYPE file</t>
        </is>
      </c>
      <c r="H149" s="13" t="inlineStr">
        <is>
          <t>1. Check the precondition
2. Prepare the input: Rejected file (FL-04)
3. Run the job
4. Check the task log / step report
5. Compare with the expected result and record the outcome</t>
        </is>
      </c>
      <c r="I149" s="14" t="inlineStr"/>
      <c r="J149" s="13" t="inlineStr">
        <is>
          <t>Task fails at once (AirflowFailException), no retry, incident + email</t>
        </is>
      </c>
      <c r="K149" s="15" t="inlineStr">
        <is>
          <t>Not Run</t>
        </is>
      </c>
      <c r="L149" s="15" t="inlineStr"/>
      <c r="M149" s="15" t="inlineStr"/>
      <c r="N149" s="15" t="inlineStr"/>
      <c r="O149" s="15" t="inlineStr"/>
      <c r="P149" s="15" t="inlineStr"/>
      <c r="Q149" s="15" t="inlineStr"/>
    </row>
    <row r="150">
      <c r="A150" s="12" t="inlineStr">
        <is>
          <t>AF-02</t>
        </is>
      </c>
      <c r="B150" s="13" t="inlineStr">
        <is>
          <t>Airflow behaviour</t>
        </is>
      </c>
      <c r="C150" s="13" t="inlineStr">
        <is>
          <t>Technical = retry</t>
        </is>
      </c>
      <c r="D150" s="13" t="inlineStr">
        <is>
          <t>Teradata down</t>
        </is>
      </c>
      <c r="E150" s="13" t="inlineStr"/>
      <c r="F150" s="14" t="inlineStr"/>
      <c r="G150" s="13" t="inlineStr">
        <is>
          <t>Airflow DAG OSSTD_CORE_CMS_COMPLIANCE_FILE_LOAD
Trigger DAG w/ config:
{"project": "CMSUNIV"}
with Teradata unreachable (wrong password in Connection DEV)</t>
        </is>
      </c>
      <c r="H150" s="13" t="inlineStr">
        <is>
          <t>1. Check the precondition
2. Prepare the input: Teradata down
3. Run the job
4. Check the task log / step report
5. Compare with the expected result and record the outcome</t>
        </is>
      </c>
      <c r="I150" s="14" t="inlineStr"/>
      <c r="J150" s="13" t="inlineStr">
        <is>
          <t>Task retried once after 5 minutes, then fails</t>
        </is>
      </c>
      <c r="K150" s="15" t="inlineStr">
        <is>
          <t>Not Run</t>
        </is>
      </c>
      <c r="L150" s="15" t="inlineStr"/>
      <c r="M150" s="15" t="inlineStr"/>
      <c r="N150" s="15" t="inlineStr"/>
      <c r="O150" s="15" t="inlineStr"/>
      <c r="P150" s="15" t="inlineStr"/>
      <c r="Q150" s="15" t="inlineStr"/>
    </row>
    <row r="151">
      <c r="A151" s="12" t="inlineStr">
        <is>
          <t>AF-03</t>
        </is>
      </c>
      <c r="B151" s="13" t="inlineStr">
        <is>
          <t>Airflow behaviour</t>
        </is>
      </c>
      <c r="C151" s="13" t="inlineStr">
        <is>
          <t>One run at a time</t>
        </is>
      </c>
      <c r="D151" s="13" t="inlineStr">
        <is>
          <t>Trigger a DAG twice</t>
        </is>
      </c>
      <c r="E151" s="13" t="inlineStr"/>
      <c r="F151" s="14" t="inlineStr"/>
      <c r="G151" s="13" t="inlineStr">
        <is>
          <t>Trigger any DAG twice in a row</t>
        </is>
      </c>
      <c r="H151" s="13" t="inlineStr">
        <is>
          <t>1. Check the precondition
2. Prepare the input: Trigger a DAG twice
3. Run the job
4. Check the task log / step report
5. Compare with the expected result and record the outcome</t>
        </is>
      </c>
      <c r="I151" s="14" t="inlineStr"/>
      <c r="J151" s="13" t="inlineStr">
        <is>
          <t>Second run queued until the first ends</t>
        </is>
      </c>
      <c r="K151" s="15" t="inlineStr">
        <is>
          <t>Not Run</t>
        </is>
      </c>
      <c r="L151" s="15" t="inlineStr"/>
      <c r="M151" s="15" t="inlineStr"/>
      <c r="N151" s="15" t="inlineStr"/>
      <c r="O151" s="15" t="inlineStr"/>
      <c r="P151" s="15" t="inlineStr"/>
      <c r="Q151" s="15" t="inlineStr"/>
    </row>
    <row r="152">
      <c r="A152" s="12" t="inlineStr">
        <is>
          <t>AF-04</t>
        </is>
      </c>
      <c r="B152" s="13" t="inlineStr">
        <is>
          <t>Airflow behaviour</t>
        </is>
      </c>
      <c r="C152" s="13" t="inlineStr">
        <is>
          <t>Trigger keys</t>
        </is>
      </c>
      <c r="D152" s="13" t="inlineStr">
        <is>
          <t>Trigger with {"meta_db":"X","settings":{"FILE_STORE":"local"}}</t>
        </is>
      </c>
      <c r="E152" s="13" t="inlineStr"/>
      <c r="F152" s="14" t="inlineStr"/>
      <c r="G152" s="13" t="inlineStr">
        <is>
          <t>Airflow DAG OSSTD_CORE_CMS_COMPLIANCE_FILE_LOAD
Trigger DAG w/ config:
{"project": "CMSUNIV", "meta_db": "X", "settings": {"FILE_STORE": "local"}}</t>
        </is>
      </c>
      <c r="H152" s="13" t="inlineStr">
        <is>
          <t>1. Check the precondition
2. Prepare the input: Trigger with {"meta_db":"X","settings":{"FILE_STORE":"local"}}
3. Run the job
4. Check the task log / step report
5. Compare with the expected result and record the outcome</t>
        </is>
      </c>
      <c r="I152" s="14" t="inlineStr"/>
      <c r="J152" s="13" t="inlineStr">
        <is>
          <t>Ignored with a warning ("not taken from the trigger")</t>
        </is>
      </c>
      <c r="K152" s="15" t="inlineStr">
        <is>
          <t>Not Run</t>
        </is>
      </c>
      <c r="L152" s="15" t="inlineStr"/>
      <c r="M152" s="15" t="inlineStr"/>
      <c r="N152" s="15" t="inlineStr"/>
      <c r="O152" s="15" t="inlineStr"/>
      <c r="P152" s="15" t="inlineStr"/>
      <c r="Q152" s="15" t="inlineStr"/>
    </row>
    <row r="153">
      <c r="A153" s="12" t="inlineStr">
        <is>
          <t>AF-05</t>
        </is>
      </c>
      <c r="B153" s="13" t="inlineStr">
        <is>
          <t>Airflow behaviour</t>
        </is>
      </c>
      <c r="C153" s="13" t="inlineStr">
        <is>
          <t>as_of</t>
        </is>
      </c>
      <c r="D153" s="13" t="inlineStr">
        <is>
          <t>Run the job with the trigger config shown in Job to Execute</t>
        </is>
      </c>
      <c r="E153" s="13" t="inlineStr"/>
      <c r="F153" s="14" t="inlineStr"/>
      <c r="G153" s="13" t="inlineStr">
        <is>
          <t>Airflow DAG OSSTD_CORE_CMS_COMPLIANCE_BATCH_CREATION
Trigger DAG w/ config:
{"project": "CMSUNIV", "as_of": "2026-10-18"}</t>
        </is>
      </c>
      <c r="H153" s="13" t="inlineStr">
        <is>
          <t>1. Check the precondition
2. No input to prepare
3. Run the job
4. Check the task log / step report
5. Compare with the expected result and record the outcome</t>
        </is>
      </c>
      <c r="I153" s="14" t="inlineStr"/>
      <c r="J153" s="13" t="inlineStr">
        <is>
          <t>Step runs as of that day</t>
        </is>
      </c>
      <c r="K153" s="15" t="inlineStr">
        <is>
          <t>Not Run</t>
        </is>
      </c>
      <c r="L153" s="15" t="inlineStr"/>
      <c r="M153" s="15" t="inlineStr"/>
      <c r="N153" s="15" t="inlineStr"/>
      <c r="O153" s="15" t="inlineStr"/>
      <c r="P153" s="15" t="inlineStr"/>
      <c r="Q153" s="15" t="inlineStr"/>
    </row>
    <row r="154">
      <c r="A154" s="12" t="inlineStr">
        <is>
          <t>AF-06</t>
        </is>
      </c>
      <c r="B154" s="13" t="inlineStr">
        <is>
          <t>Airflow behaviour</t>
        </is>
      </c>
      <c r="C154" s="13" t="inlineStr">
        <is>
          <t>Passed on</t>
        </is>
      </c>
      <c r="D154" s="13" t="inlineStr">
        <is>
          <t>FILE_CHECK {"table":"ODAG3"}</t>
        </is>
      </c>
      <c r="E154" s="13" t="inlineStr"/>
      <c r="F154" s="14" t="inlineStr"/>
      <c r="G154" s="13" t="inlineStr">
        <is>
          <t>Airflow DAG OSSTD_CORE_CMS_COMPLIANCE_FILE_CHECK
Trigger DAG w/ config:
{"project": "CMSUNIV", "table": "ODAG3"}</t>
        </is>
      </c>
      <c r="H154" s="13" t="inlineStr">
        <is>
          <t>1. Check the precondition
2. Prepare the input: FILE_CHECK {"table":"ODAG3"}
3. Run the job
4. Check the task log / step report
5. Compare with the expected result and record the outcome</t>
        </is>
      </c>
      <c r="I154" s="14" t="inlineStr"/>
      <c r="J154" s="13" t="inlineStr">
        <is>
          <t>Triggered FILE_LOAD gets table = ODAG3</t>
        </is>
      </c>
      <c r="K154" s="15" t="inlineStr">
        <is>
          <t>Not Run</t>
        </is>
      </c>
      <c r="L154" s="15" t="inlineStr"/>
      <c r="M154" s="15" t="inlineStr"/>
      <c r="N154" s="15" t="inlineStr"/>
      <c r="O154" s="15" t="inlineStr"/>
      <c r="P154" s="15" t="inlineStr"/>
      <c r="Q154" s="15" t="inlineStr"/>
    </row>
    <row r="155">
      <c r="A155" s="12" t="inlineStr">
        <is>
          <t>AF-07</t>
        </is>
      </c>
      <c r="B155" s="13" t="inlineStr">
        <is>
          <t>Airflow behaviour</t>
        </is>
      </c>
      <c r="C155" s="13" t="inlineStr">
        <is>
          <t>Deferred wait</t>
        </is>
      </c>
      <c r="D155" s="13" t="inlineStr">
        <is>
          <t>EX-23</t>
        </is>
      </c>
      <c r="E155" s="13" t="inlineStr"/>
      <c r="F155" s="14" t="inlineStr"/>
      <c r="G155" s="13" t="inlineStr">
        <is>
          <t>See steps</t>
        </is>
      </c>
      <c r="H155" s="13" t="inlineStr">
        <is>
          <t>1. Check the precondition
2. Prepare the input: EX-23
3. Run the job
4. Check the task log / step report
5. Compare with the expected result and record the outcome</t>
        </is>
      </c>
      <c r="I155" s="14" t="inlineStr"/>
      <c r="J155" s="13" t="inlineStr">
        <is>
          <t>Wait shown as deferred (no worker slot)</t>
        </is>
      </c>
      <c r="K155" s="15" t="inlineStr">
        <is>
          <t>Not Run</t>
        </is>
      </c>
      <c r="L155" s="15" t="inlineStr"/>
      <c r="M155" s="15" t="inlineStr"/>
      <c r="N155" s="15" t="inlineStr"/>
      <c r="O155" s="15" t="inlineStr"/>
      <c r="P155" s="15" t="inlineStr"/>
      <c r="Q155" s="15" t="inlineStr"/>
    </row>
    <row r="156">
      <c r="A156" s="12" t="inlineStr">
        <is>
          <t>AF-08</t>
        </is>
      </c>
      <c r="B156" s="13" t="inlineStr">
        <is>
          <t>Airflow behaviour</t>
        </is>
      </c>
      <c r="C156" s="13" t="inlineStr">
        <is>
          <t>Pool</t>
        </is>
      </c>
      <c r="D156" s="13" t="inlineStr">
        <is>
          <t>FILE_RULES task</t>
        </is>
      </c>
      <c r="E156" s="13" t="inlineStr"/>
      <c r="F156" s="14" t="inlineStr"/>
      <c r="G156" s="13" t="inlineStr">
        <is>
          <t>Airflow DAG OSSTD_CORE_CMS_COMPLIANCE_FILE_RULES (task details: pool)</t>
        </is>
      </c>
      <c r="H156" s="13" t="inlineStr">
        <is>
          <t>1. Check the precondition
2. Prepare the input: FILE_RULES task
3. Run the job
4. Check the task log / step report
5. Compare with the expected result and record the outcome</t>
        </is>
      </c>
      <c r="I156" s="14" t="inlineStr"/>
      <c r="J156" s="13" t="inlineStr">
        <is>
          <t>Runs in pool gre_rules</t>
        </is>
      </c>
      <c r="K156" s="15" t="inlineStr">
        <is>
          <t>Not Run</t>
        </is>
      </c>
      <c r="L156" s="15" t="inlineStr"/>
      <c r="M156" s="15" t="inlineStr"/>
      <c r="N156" s="15" t="inlineStr"/>
      <c r="O156" s="15" t="inlineStr"/>
      <c r="P156" s="15" t="inlineStr"/>
      <c r="Q156" s="15" t="inlineStr"/>
    </row>
    <row r="157">
      <c r="A157" s="12" t="inlineStr">
        <is>
          <t>AF-09</t>
        </is>
      </c>
      <c r="B157" s="13" t="inlineStr">
        <is>
          <t>Airflow behaviour</t>
        </is>
      </c>
      <c r="C157" s="13" t="inlineStr">
        <is>
          <t>Timed runs</t>
        </is>
      </c>
      <c r="D157" s="13" t="inlineStr">
        <is>
          <t>runs with name + schedule_interval</t>
        </is>
      </c>
      <c r="E157" s="13" t="inlineStr"/>
      <c r="F157" s="14" t="inlineStr"/>
      <c r="G157" s="13" t="inlineStr">
        <is>
          <t>DAG with runs entries; manual trigger {"run": "MNT"}</t>
        </is>
      </c>
      <c r="H157" s="13" t="inlineStr">
        <is>
          <t>1. Check the precondition
2. Prepare the input: runs with name + schedule_interval
3. Run the job
4. Check the task log / step report
5. Compare with the expected result and record the outcome</t>
        </is>
      </c>
      <c r="I157" s="14" t="inlineStr"/>
      <c r="J157" s="13" t="inlineStr">
        <is>
          <t>Each scheduled time runs its entry; {"run":"MNT"} runs that entry by hand</t>
        </is>
      </c>
      <c r="K157" s="15" t="inlineStr">
        <is>
          <t>Not Run</t>
        </is>
      </c>
      <c r="L157" s="15" t="inlineStr"/>
      <c r="M157" s="15" t="inlineStr"/>
      <c r="N157" s="15" t="inlineStr"/>
      <c r="O157" s="15" t="inlineStr"/>
      <c r="P157" s="15" t="inlineStr"/>
      <c r="Q157" s="15" t="inlineStr"/>
    </row>
    <row r="158">
      <c r="A158" s="12" t="inlineStr">
        <is>
          <t>AF-10</t>
        </is>
      </c>
      <c r="B158" s="13" t="inlineStr">
        <is>
          <t>Airflow behaviour</t>
        </is>
      </c>
      <c r="C158" s="13" t="inlineStr">
        <is>
          <t>Missing Variable</t>
        </is>
      </c>
      <c r="D158" s="13" t="inlineStr">
        <is>
          <t>Delete a Variable (DEV)</t>
        </is>
      </c>
      <c r="E158" s="13" t="inlineStr"/>
      <c r="F158" s="14" t="inlineStr"/>
      <c r="G158" s="13" t="inlineStr">
        <is>
          <t>Delete one Variable (DEV), trigger its DAG, restore the Variable</t>
        </is>
      </c>
      <c r="H158" s="13" t="inlineStr">
        <is>
          <t>1. Check the precondition
2. Prepare the input: Delete a Variable (DEV)
3. Run the job
4. Check the task log / step report
5. Compare with the expected result and record the outcome</t>
        </is>
      </c>
      <c r="I158" s="14" t="inlineStr"/>
      <c r="J158" s="13" t="inlineStr">
        <is>
          <t>DAG still listed; task fails with "Variable … is not set"</t>
        </is>
      </c>
      <c r="K158" s="15" t="inlineStr">
        <is>
          <t>Not Run</t>
        </is>
      </c>
      <c r="L158" s="15" t="inlineStr"/>
      <c r="M158" s="15" t="inlineStr"/>
      <c r="N158" s="15" t="inlineStr"/>
      <c r="O158" s="15" t="inlineStr"/>
      <c r="P158" s="15" t="inlineStr"/>
      <c r="Q158" s="15" t="inlineStr"/>
    </row>
    <row r="159">
      <c r="A159" s="12" t="inlineStr">
        <is>
          <t>AF-11</t>
        </is>
      </c>
      <c r="B159" s="13" t="inlineStr">
        <is>
          <t>Airflow behaviour</t>
        </is>
      </c>
      <c r="C159" s="13" t="inlineStr">
        <is>
          <t>LOCK_TTL raised</t>
        </is>
      </c>
      <c r="D159" s="13" t="inlineStr">
        <is>
          <t>execution_timeout_minutes above LOCK_TTL_MINUTES</t>
        </is>
      </c>
      <c r="E159" s="13" t="inlineStr"/>
      <c r="F159" s="14" t="inlineStr"/>
      <c r="G159" s="13" t="inlineStr">
        <is>
          <t>Set execution_timeout_minutes 300 in a Variable, trigger the DAG</t>
        </is>
      </c>
      <c r="H159" s="13" t="inlineStr">
        <is>
          <t>1. Check the precondition
2. Prepare the input: execution_timeout_minutes above LOCK_TTL_MINUTES
3. Run the job
4. Check the task log / step report
5. Compare with the expected result and record the outcome</t>
        </is>
      </c>
      <c r="I159" s="14" t="inlineStr"/>
      <c r="J159" s="13" t="inlineStr">
        <is>
          <t>Log "LOCK_TTL_MINUTES raised"</t>
        </is>
      </c>
      <c r="K159" s="15" t="inlineStr">
        <is>
          <t>Not Run</t>
        </is>
      </c>
      <c r="L159" s="15" t="inlineStr"/>
      <c r="M159" s="15" t="inlineStr"/>
      <c r="N159" s="15" t="inlineStr"/>
      <c r="O159" s="15" t="inlineStr"/>
      <c r="P159" s="15" t="inlineStr"/>
      <c r="Q159" s="15" t="inlineStr"/>
    </row>
    <row r="160">
      <c r="A160" s="12" t="inlineStr">
        <is>
          <t>AF-12</t>
        </is>
      </c>
      <c r="B160" s="13" t="inlineStr">
        <is>
          <t>Airflow behaviour</t>
        </is>
      </c>
      <c r="C160" s="13" t="inlineStr">
        <is>
          <t>Locks released</t>
        </is>
      </c>
      <c r="D160" s="13" t="inlineStr">
        <is>
          <t>After any run</t>
        </is>
      </c>
      <c r="E160" s="13" t="inlineStr"/>
      <c r="F160" s="14" t="inlineStr"/>
      <c r="G160" s="13" t="inlineStr">
        <is>
          <t>See steps</t>
        </is>
      </c>
      <c r="H160" s="13" t="inlineStr">
        <is>
          <t>1. Check the precondition
2. Prepare the input: After any run
3. Run the job
4. Run the verification SQL (replace &lt;batch&gt;, &lt;table&gt;)
5. Compare with the expected result and record the outcome</t>
        </is>
      </c>
      <c r="I160" s="14" t="inlineStr">
        <is>
          <t>SELECT Lock_Key, Owner_ID, Acquired_Dtts, Expires_Dtts FROM HSABC_DEV.ComplianceLock ORDER BY Acquired_Dtts;</t>
        </is>
      </c>
      <c r="J160" s="13" t="inlineStr">
        <is>
          <t>Q10 has no leftover locks of finished runs</t>
        </is>
      </c>
      <c r="K160" s="15" t="inlineStr">
        <is>
          <t>Not Run</t>
        </is>
      </c>
      <c r="L160" s="15" t="inlineStr"/>
      <c r="M160" s="15" t="inlineStr"/>
      <c r="N160" s="15" t="inlineStr"/>
      <c r="O160" s="15" t="inlineStr"/>
      <c r="P160" s="15" t="inlineStr"/>
      <c r="Q160" s="15" t="inlineStr"/>
    </row>
    <row r="161">
      <c r="A161" s="12" t="inlineStr">
        <is>
          <t>AD-01</t>
        </is>
      </c>
      <c r="B161" s="13" t="inlineStr">
        <is>
          <t>Admin commands</t>
        </is>
      </c>
      <c r="C161" s="13" t="inlineStr">
        <is>
          <t>validate-config</t>
        </is>
      </c>
      <c r="D161" s="13" t="inlineStr">
        <is>
          <t>Run: validate-config</t>
        </is>
      </c>
      <c r="E161" s="13" t="inlineStr"/>
      <c r="F161" s="14" t="inlineStr"/>
      <c r="G161" s="13" t="inlineStr">
        <is>
          <t>Worker shell (TERADATA_* and FRAMEWORK_METADATA_SCHEMA=HSABC_DEV set):
python -m compliance_framework.cli validate-config</t>
        </is>
      </c>
      <c r="H161" s="13" t="inlineStr">
        <is>
          <t>1. Check the precondition
2. Prepare the input: Run: validate-config
3. Run the job
4. Check the task log / step report
5. Compare with the expected result and record the outcome</t>
        </is>
      </c>
      <c r="I161" s="14" t="inlineStr"/>
      <c r="J161" s="13" t="inlineStr">
        <is>
          <t>Full list of issues</t>
        </is>
      </c>
      <c r="K161" s="15" t="inlineStr">
        <is>
          <t>Not Run</t>
        </is>
      </c>
      <c r="L161" s="15" t="inlineStr"/>
      <c r="M161" s="15" t="inlineStr"/>
      <c r="N161" s="15" t="inlineStr"/>
      <c r="O161" s="15" t="inlineStr"/>
      <c r="P161" s="15" t="inlineStr"/>
      <c r="Q161" s="15" t="inlineStr"/>
    </row>
    <row r="162">
      <c r="A162" s="12" t="inlineStr">
        <is>
          <t>AD-02</t>
        </is>
      </c>
      <c r="B162" s="13" t="inlineStr">
        <is>
          <t>Admin commands</t>
        </is>
      </c>
      <c r="C162" s="13" t="inlineStr">
        <is>
          <t>health</t>
        </is>
      </c>
      <c r="D162" s="13" t="inlineStr">
        <is>
          <t>Run: health</t>
        </is>
      </c>
      <c r="E162" s="13" t="inlineStr"/>
      <c r="F162" s="14" t="inlineStr"/>
      <c r="G162" s="13" t="inlineStr">
        <is>
          <t>Worker shell (TERADATA_* and FRAMEWORK_METADATA_SCHEMA=HSABC_DEV set):
python -m compliance_framework.cli health</t>
        </is>
      </c>
      <c r="H162" s="13" t="inlineStr">
        <is>
          <t>1. Check the precondition
2. Prepare the input: Run: health
3. Run the job
4. Check the task log / step report
5. Compare with the expected result and record the outcome</t>
        </is>
      </c>
      <c r="I162" s="14" t="inlineStr"/>
      <c r="J162" s="13" t="inlineStr">
        <is>
          <t>Loads in progress for long, rejected counts by reason</t>
        </is>
      </c>
      <c r="K162" s="15" t="inlineStr">
        <is>
          <t>Not Run</t>
        </is>
      </c>
      <c r="L162" s="15" t="inlineStr"/>
      <c r="M162" s="15" t="inlineStr"/>
      <c r="N162" s="15" t="inlineStr"/>
      <c r="O162" s="15" t="inlineStr"/>
      <c r="P162" s="15" t="inlineStr"/>
      <c r="Q162" s="15" t="inlineStr"/>
    </row>
    <row r="163">
      <c r="A163" s="12" t="inlineStr">
        <is>
          <t>AD-03</t>
        </is>
      </c>
      <c r="B163" s="13" t="inlineStr">
        <is>
          <t>Admin commands</t>
        </is>
      </c>
      <c r="C163" s="13" t="inlineStr">
        <is>
          <t>locks / release-lock --key &lt;key&gt;</t>
        </is>
      </c>
      <c r="D163" s="13" t="inlineStr">
        <is>
          <t>Run: locks / release-lock --key &lt;key&gt;</t>
        </is>
      </c>
      <c r="E163" s="13" t="inlineStr"/>
      <c r="F163" s="14" t="inlineStr"/>
      <c r="G163" s="13" t="inlineStr">
        <is>
          <t>Worker shell (TERADATA_* and FRAMEWORK_METADATA_SCHEMA=HSABC_DEV set):
python -m compliance_framework.cli locks
python -m compliance_framework.cli release-lock --key &lt;key&gt;</t>
        </is>
      </c>
      <c r="H163" s="13" t="inlineStr">
        <is>
          <t>1. Check the precondition
2. Prepare the input: Run: locks / release-lock --key &lt;key&gt;
3. Run the job
4. Run the verification SQL (replace &lt;batch&gt;, &lt;table&gt;)
5. Compare with the expected result and record the outcome</t>
        </is>
      </c>
      <c r="I163" s="14" t="inlineStr">
        <is>
          <t>SELECT Lock_Key, Owner_ID, Acquired_Dtts, Expires_Dtts FROM HSABC_DEV.ComplianceLock ORDER BY Acquired_Dtts;</t>
        </is>
      </c>
      <c r="J163" s="13" t="inlineStr">
        <is>
          <t>Lists locks; removes the given one</t>
        </is>
      </c>
      <c r="K163" s="15" t="inlineStr">
        <is>
          <t>Not Run</t>
        </is>
      </c>
      <c r="L163" s="15" t="inlineStr"/>
      <c r="M163" s="15" t="inlineStr"/>
      <c r="N163" s="15" t="inlineStr"/>
      <c r="O163" s="15" t="inlineStr"/>
      <c r="P163" s="15" t="inlineStr"/>
      <c r="Q163" s="15" t="inlineStr"/>
    </row>
    <row r="164">
      <c r="A164" s="12" t="inlineStr">
        <is>
          <t>AD-04</t>
        </is>
      </c>
      <c r="B164" s="13" t="inlineStr">
        <is>
          <t>Admin commands</t>
        </is>
      </c>
      <c r="C164" s="13" t="inlineStr">
        <is>
          <t>close-batch, close-batches</t>
        </is>
      </c>
      <c r="D164" s="13" t="inlineStr">
        <is>
          <t>Run: close-batch, close-batches</t>
        </is>
      </c>
      <c r="E164" s="13" t="inlineStr"/>
      <c r="F164" s="14" t="inlineStr"/>
      <c r="G164" s="13" t="inlineStr">
        <is>
          <t>Worker shell (TERADATA_* and FRAMEWORK_METADATA_SCHEMA=HSABC_DEV set):
python -m compliance_framework.cli close-batch --btch-id &lt;batch&gt; --closed-by &lt;you&gt;
python -m compliance_framework.cli close-batches --project CMSUNIV</t>
        </is>
      </c>
      <c r="H164" s="13" t="inlineStr">
        <is>
          <t>1. Check the precondition
2. Prepare the input: Run: close-batch, close-batches
3. Run the job
4. Run the verification SQL (replace &lt;batch&gt;, &lt;table&gt;)
5. Compare with the expected result and record the outcome</t>
        </is>
      </c>
      <c r="I164" s="14" t="inlineStr">
        <is>
          <t>SELECT Btch_ID, Src_ID, Req_Stat, Resolution_Ty, Batch_Close_Ind, Reuse_Btch_ID, Rpt_Start_Dt_Key, Rpt_End_Dt_Key
FROM HSABC_DEV.ComplianceRequestControl WHERE Btch_ID = '&lt;batch&gt;' ORDER BY Src_ID;</t>
        </is>
      </c>
      <c r="J164" s="13" t="inlineStr">
        <is>
          <t>Closes as CL-10</t>
        </is>
      </c>
      <c r="K164" s="15" t="inlineStr">
        <is>
          <t>Not Run</t>
        </is>
      </c>
      <c r="L164" s="15" t="inlineStr"/>
      <c r="M164" s="15" t="inlineStr"/>
      <c r="N164" s="15" t="inlineStr"/>
      <c r="O164" s="15" t="inlineStr"/>
      <c r="P164" s="15" t="inlineStr"/>
      <c r="Q164" s="15" t="inlineStr"/>
    </row>
    <row r="165">
      <c r="A165" s="12" t="inlineStr">
        <is>
          <t>AD-05</t>
        </is>
      </c>
      <c r="B165" s="13" t="inlineStr">
        <is>
          <t>Admin commands</t>
        </is>
      </c>
      <c r="C165" s="13" t="inlineStr">
        <is>
          <t>run --module FILE_RULES --project CMSUNIV</t>
        </is>
      </c>
      <c r="D165" s="13" t="inlineStr">
        <is>
          <t>Run: run --module FILE_RULES --project CMSUNIV</t>
        </is>
      </c>
      <c r="E165" s="13" t="inlineStr"/>
      <c r="F165" s="14" t="inlineStr"/>
      <c r="G165" s="13" t="inlineStr">
        <is>
          <t>Worker shell (TERADATA_* and FRAMEWORK_METADATA_SCHEMA=HSABC_DEV set):
python -m compliance_framework.cli run --module FILE_RULES --project CMSUNIV</t>
        </is>
      </c>
      <c r="H165" s="13" t="inlineStr">
        <is>
          <t>1. Check the precondition
2. Prepare the input: Run: run --module FILE_RULES --project CMSUNIV
3. Run the job
4. Run the verification SQL (replace &lt;batch&gt;, &lt;table&gt;)
5. Compare with the expected result and record the outcome</t>
        </is>
      </c>
      <c r="I165" s="14" t="inlineStr">
        <is>
          <t>SELECT Load_ID, Btch_ID, Load_Stat, Rules_Stat FROM HSABC_DEV.ComplianceFileLoad WHERE Btch_ID = '&lt;batch&gt;';</t>
        </is>
      </c>
      <c r="J165" s="13" t="inlineStr">
        <is>
          <t>Same as the DAG step</t>
        </is>
      </c>
      <c r="K165" s="15" t="inlineStr">
        <is>
          <t>Not Run</t>
        </is>
      </c>
      <c r="L165" s="15" t="inlineStr"/>
      <c r="M165" s="15" t="inlineStr"/>
      <c r="N165" s="15" t="inlineStr"/>
      <c r="O165" s="15" t="inlineStr"/>
      <c r="P165" s="15" t="inlineStr"/>
      <c r="Q165" s="15" t="inlineStr"/>
    </row>
    <row r="166">
      <c r="A166" s="12" t="inlineStr">
        <is>
          <t>AD-06</t>
        </is>
      </c>
      <c r="B166" s="13" t="inlineStr">
        <is>
          <t>Admin commands</t>
        </is>
      </c>
      <c r="C166" s="13" t="inlineStr">
        <is>
          <t>show-config, list-modules, test-connection</t>
        </is>
      </c>
      <c r="D166" s="13" t="inlineStr">
        <is>
          <t>Run: show-config, list-modules, test-connection</t>
        </is>
      </c>
      <c r="E166" s="13" t="inlineStr"/>
      <c r="F166" s="14" t="inlineStr"/>
      <c r="G166" s="13" t="inlineStr">
        <is>
          <t>Worker shell (TERADATA_* and FRAMEWORK_METADATA_SCHEMA=HSABC_DEV set):
python -m compliance_framework.cli show-config
python -m compliance_framework.cli list-modules
python -m compliance_framework.cli test-connection</t>
        </is>
      </c>
      <c r="H166" s="13" t="inlineStr">
        <is>
          <t>1. Check the precondition
2. Prepare the input: Run: show-config, list-modules, test-connection
3. Run the job
4. Check the task log / step report
5. Compare with the expected result and record the outcome</t>
        </is>
      </c>
      <c r="I166" s="14" t="inlineStr"/>
      <c r="J166" s="13" t="inlineStr">
        <is>
          <t>Output without passwords</t>
        </is>
      </c>
      <c r="K166" s="15" t="inlineStr">
        <is>
          <t>Not Run</t>
        </is>
      </c>
      <c r="L166" s="15" t="inlineStr"/>
      <c r="M166" s="15" t="inlineStr"/>
      <c r="N166" s="15" t="inlineStr"/>
      <c r="O166" s="15" t="inlineStr"/>
      <c r="P166" s="15" t="inlineStr"/>
      <c r="Q166" s="15" t="inlineStr"/>
    </row>
    <row r="167">
      <c r="A167" s="12" t="inlineStr">
        <is>
          <t>LG-01</t>
        </is>
      </c>
      <c r="B167" s="13" t="inlineStr">
        <is>
          <t>Logging and security</t>
        </is>
      </c>
      <c r="C167" s="13" t="inlineStr">
        <is>
          <t>No passwords in logs</t>
        </is>
      </c>
      <c r="D167" s="13" t="inlineStr">
        <is>
          <t>No passwords in logs</t>
        </is>
      </c>
      <c r="E167" s="13" t="inlineStr"/>
      <c r="F167" s="14" t="inlineStr"/>
      <c r="G167" s="13" t="inlineStr">
        <is>
          <t>Airflow task logs of the DAG runs of the other cases</t>
        </is>
      </c>
      <c r="H167" s="13" t="inlineStr">
        <is>
          <t>1. Check the precondition
2. No input to prepare
3. Run the job
4. Check the task log / step report
5. Compare with the expected result and record the outcome</t>
        </is>
      </c>
      <c r="I167" s="14" t="inlineStr"/>
      <c r="J167" s="13" t="inlineStr">
        <is>
          <t>Search task logs for the passwords: none</t>
        </is>
      </c>
      <c r="K167" s="15" t="inlineStr">
        <is>
          <t>Not Run</t>
        </is>
      </c>
      <c r="L167" s="15" t="inlineStr"/>
      <c r="M167" s="15" t="inlineStr"/>
      <c r="N167" s="15" t="inlineStr"/>
      <c r="O167" s="15" t="inlineStr"/>
      <c r="P167" s="15" t="inlineStr"/>
      <c r="Q167" s="15" t="inlineStr"/>
    </row>
    <row r="168">
      <c r="A168" s="12" t="inlineStr">
        <is>
          <t>LG-02</t>
        </is>
      </c>
      <c r="B168" s="13" t="inlineStr">
        <is>
          <t>Logging and security</t>
        </is>
      </c>
      <c r="C168" s="13" t="inlineStr">
        <is>
          <t>No member data in logs, reports, alerts</t>
        </is>
      </c>
      <c r="D168" s="13" t="inlineStr">
        <is>
          <t>No member data in logs, reports, alerts</t>
        </is>
      </c>
      <c r="E168" s="13" t="inlineStr"/>
      <c r="F168" s="14" t="inlineStr"/>
      <c r="G168" s="13" t="inlineStr">
        <is>
          <t>Airflow task logs of the DAG runs of the other cases</t>
        </is>
      </c>
      <c r="H168" s="13" t="inlineStr">
        <is>
          <t>1. Check the precondition
2. No input to prepare
3. Run the job
4. Check the task log / step report
5. Compare with the expected result and record the outcome</t>
        </is>
      </c>
      <c r="I168" s="14" t="inlineStr"/>
      <c r="J168" s="13" t="inlineStr">
        <is>
          <t>Errors show column names, never values ('*'); error logs in ErrorLog/ hold the rejected records (restricted folder)</t>
        </is>
      </c>
      <c r="K168" s="15" t="inlineStr">
        <is>
          <t>Not Run</t>
        </is>
      </c>
      <c r="L168" s="15" t="inlineStr"/>
      <c r="M168" s="15" t="inlineStr"/>
      <c r="N168" s="15" t="inlineStr"/>
      <c r="O168" s="15" t="inlineStr"/>
      <c r="P168" s="15" t="inlineStr"/>
      <c r="Q168" s="15" t="inlineStr"/>
    </row>
    <row r="169">
      <c r="A169" s="12" t="inlineStr">
        <is>
          <t>LG-03</t>
        </is>
      </c>
      <c r="B169" s="13" t="inlineStr">
        <is>
          <t>Logging and security</t>
        </is>
      </c>
      <c r="C169" s="13" t="inlineStr">
        <is>
          <t>SQL logging</t>
        </is>
      </c>
      <c r="D169" s="13" t="inlineStr">
        <is>
          <t>SQL logging</t>
        </is>
      </c>
      <c r="E169" s="13" t="inlineStr"/>
      <c r="F169" s="14" t="inlineStr"/>
      <c r="G169" s="13" t="inlineStr">
        <is>
          <t>Airflow task logs of the DAG runs of the other cases</t>
        </is>
      </c>
      <c r="H169" s="13" t="inlineStr">
        <is>
          <t>1. Check the precondition
2. No input to prepare
3. Run the job
4. Check the task log / step report
5. Compare with the expected result and record the outcome</t>
        </is>
      </c>
      <c r="I169" s="14" t="inlineStr"/>
      <c r="J169" s="13" t="inlineStr">
        <is>
          <t>Every configured SQL (source queries, SQL columns, report-date SQL, export procedure / SELECT / pre / post, rules) logged with parameters and a copy with values</t>
        </is>
      </c>
      <c r="K169" s="15" t="inlineStr">
        <is>
          <t>Not Run</t>
        </is>
      </c>
      <c r="L169" s="15" t="inlineStr"/>
      <c r="M169" s="15" t="inlineStr"/>
      <c r="N169" s="15" t="inlineStr"/>
      <c r="O169" s="15" t="inlineStr"/>
      <c r="P169" s="15" t="inlineStr"/>
      <c r="Q169" s="15" t="inlineStr"/>
    </row>
    <row r="170">
      <c r="A170" s="12" t="inlineStr">
        <is>
          <t>LG-04</t>
        </is>
      </c>
      <c r="B170" s="13" t="inlineStr">
        <is>
          <t>Logging and security</t>
        </is>
      </c>
      <c r="C170" s="13" t="inlineStr">
        <is>
          <t>Progress lines</t>
        </is>
      </c>
      <c r="D170" s="13" t="inlineStr">
        <is>
          <t>Progress lines</t>
        </is>
      </c>
      <c r="E170" s="13" t="inlineStr"/>
      <c r="F170" s="14" t="inlineStr"/>
      <c r="G170" s="13" t="inlineStr">
        <is>
          <t>Airflow task logs of the DAG runs of the other cases</t>
        </is>
      </c>
      <c r="H170" s="13" t="inlineStr">
        <is>
          <t>1. Check the precondition
2. No input to prepare
3. Run the job
4. Check the task log / step report
5. Compare with the expected result and record the outcome</t>
        </is>
      </c>
      <c r="I170" s="14" t="inlineStr"/>
      <c r="J170" s="13" t="inlineStr">
        <is>
          <t>…` lines for each step of a file</t>
        </is>
      </c>
      <c r="K170" s="15" t="inlineStr">
        <is>
          <t>Not Run</t>
        </is>
      </c>
      <c r="L170" s="15" t="inlineStr"/>
      <c r="M170" s="15" t="inlineStr"/>
      <c r="N170" s="15" t="inlineStr"/>
      <c r="O170" s="15" t="inlineStr"/>
      <c r="P170" s="15" t="inlineStr"/>
      <c r="Q170" s="15" t="inlineStr"/>
    </row>
    <row r="171">
      <c r="A171" s="12" t="inlineStr">
        <is>
          <t>LG-05</t>
        </is>
      </c>
      <c r="B171" s="13" t="inlineStr">
        <is>
          <t>Logging and security</t>
        </is>
      </c>
      <c r="C171" s="13" t="inlineStr">
        <is>
          <t>Step report</t>
        </is>
      </c>
      <c r="D171" s="13" t="inlineStr">
        <is>
          <t>Step report</t>
        </is>
      </c>
      <c r="E171" s="13" t="inlineStr"/>
      <c r="F171" s="14" t="inlineStr"/>
      <c r="G171" s="13" t="inlineStr">
        <is>
          <t>Airflow task logs of the DAG runs of the other cases</t>
        </is>
      </c>
      <c r="H171" s="13" t="inlineStr">
        <is>
          <t>1. Check the precondition
2. No input to prepare
3. Run the job
4. Check the task log / step report
5. Compare with the expected result and record the outcome</t>
        </is>
      </c>
      <c r="I171" s="14" t="inlineStr"/>
      <c r="J171" s="13" t="inlineStr">
        <is>
          <t>JSON report at the end of every task</t>
        </is>
      </c>
      <c r="K171" s="15" t="inlineStr">
        <is>
          <t>Not Run</t>
        </is>
      </c>
      <c r="L171" s="15" t="inlineStr"/>
      <c r="M171" s="15" t="inlineStr"/>
      <c r="N171" s="15" t="inlineStr"/>
      <c r="O171" s="15" t="inlineStr"/>
      <c r="P171" s="15" t="inlineStr"/>
      <c r="Q171" s="15" t="inlineStr"/>
    </row>
    <row r="172">
      <c r="A172" s="12" t="inlineStr">
        <is>
          <t>E2E-01</t>
        </is>
      </c>
      <c r="B172" s="13" t="inlineStr">
        <is>
          <t>End-to-end scenarios</t>
        </is>
      </c>
      <c r="C172" s="13" t="inlineStr">
        <is>
          <t>A normal day (DLY)</t>
        </is>
      </c>
      <c r="D172" s="13" t="inlineStr">
        <is>
          <t>BATCH_CREATION → GOOD files for all FDR sources → FILE_CHECK → FILE_LOAD → SOURCE_LOAD → EXPORT_LOAD (→ FILE_RULES) → BATCH_CLOSE (→ BATCH_CREATION, NOTIFY)</t>
        </is>
      </c>
      <c r="E172" s="13" t="inlineStr"/>
      <c r="F172" s="14" t="inlineStr"/>
      <c r="G172" s="13" t="inlineStr">
        <is>
          <t>1 OSSTD_CORE_CMS_COMPLIANCE_BATCH_CREATION
2 put GOOD files
3 OSSTD_CORE_CMS_COMPLIANCE_FILE_CHECK (starts FILE_LOAD)
4 OSSTD_CORE_CMS_COMPLIANCE_SOURCE_LOAD
5 OSSTD_CORE_CMS_COMPLIANCE_EXPORT_LOAD (starts FILE_RULES)
6 OSSTD_CORE_CMS_COMPLIANCE_BATCH_CLOSE (starts BATCH_CREATION, NOTIFY)
all with {"project": "CMSUNIV"}</t>
        </is>
      </c>
      <c r="H172" s="13" t="inlineStr">
        <is>
          <t>1. Check the precondition
2. Prepare the input: BATCH_CREATION → GOOD files for all FDR sources → FILE_CHECK → FILE_LOAD → SOURCE_LOAD → EXPORT_LOAD (→ FILE_RULES) → BATCH_CLOSE (→ BATCH_CREATION, NOTIFY)
3. Run the job
4. Run the verification SQL (replace &lt;batch&gt;, &lt;table&gt;)
5. Compare with the expected result and record the outcome</t>
        </is>
      </c>
      <c r="I172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
SELECT Load_ID, File_Path, Load_Stat, Reject_Rsn_Cd, Rules_Stat, Stg_Rcd_Cnt, Error_Txt, Updated_Dtts
FROM HSABC_DEV.ComplianceFileLoad WHERE Btch_ID = '&lt;batch&gt;' ORDER BY Load_ID DESC;
SELECT Src_Data_Key, COUNT(*) AS Rows_
FROM CMSUNIV_EXPORT_DEV_T.&lt;table&gt;_EXPORT WHERE Exp_Btch_ID = '&lt;batch&gt;' GROUP BY 1;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72" s="13" t="inlineStr">
        <is>
          <t>Every DLY batch REQUEST_COMPLETE; export and feed hold every source; rules results per batch; alerts only for real problems</t>
        </is>
      </c>
      <c r="K172" s="15" t="inlineStr">
        <is>
          <t>Not Run</t>
        </is>
      </c>
      <c r="L172" s="15" t="inlineStr"/>
      <c r="M172" s="15" t="inlineStr"/>
      <c r="N172" s="15" t="inlineStr"/>
      <c r="O172" s="15" t="inlineStr"/>
      <c r="P172" s="15" t="inlineStr"/>
      <c r="Q172" s="15" t="inlineStr"/>
    </row>
    <row r="173">
      <c r="A173" s="12" t="inlineStr">
        <is>
          <t>E2E-02</t>
        </is>
      </c>
      <c r="B173" s="13" t="inlineStr">
        <is>
          <t>End-to-end scenarios</t>
        </is>
      </c>
      <c r="C173" s="13" t="inlineStr">
        <is>
          <t>Monthly cycle (MNT)</t>
        </is>
      </c>
      <c r="D173" s="13" t="inlineStr">
        <is>
          <t>as_of the Sunday before the 3rd Tuesday; files for MNT; export after the close date (SLA 5)</t>
        </is>
      </c>
      <c r="E173" s="13" t="inlineStr"/>
      <c r="F173" s="14" t="inlineStr"/>
      <c r="G173" s="13" t="inlineStr">
        <is>
          <t>As E2E-01 with "as_of" = the Sunday before the 3rd Tuesday; EXPORT_LOAD and BATCH_CLOSE on the close date</t>
        </is>
      </c>
      <c r="H173" s="13" t="inlineStr">
        <is>
          <t>1. Check the precondition
2. Prepare the input: as_of the Sunday before the 3rd Tuesday; files for MNT; export after the close date (SLA 5)
3. Run the job
4. Run the verification SQL (replace &lt;batch&gt;, &lt;table&gt;)
5. Compare with the expected result and record the outcome</t>
        </is>
      </c>
      <c r="I173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
SELECT Load_ID, File_Path, Load_Stat, Reject_Rsn_Cd, Rules_Stat, Stg_Rcd_Cnt, Error_Txt, Updated_Dtts
FROM HSABC_DEV.ComplianceFileLoad WHERE Btch_ID = '&lt;batch&gt;' ORDER BY Load_ID DESC;
SELECT Src_Data_Key, COUNT(*) AS Rows_
FROM CMSUNIV_EXPORT_DEV_T.&lt;table&gt;_EXPORT WHERE Exp_Btch_ID = '&lt;batch&gt;' GROUP BY 1;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73" s="13" t="inlineStr">
        <is>
          <t>MNT batches with the previous month; exported on the close date; closed</t>
        </is>
      </c>
      <c r="K173" s="15" t="inlineStr">
        <is>
          <t>Not Run</t>
        </is>
      </c>
      <c r="L173" s="15" t="inlineStr"/>
      <c r="M173" s="15" t="inlineStr"/>
      <c r="N173" s="15" t="inlineStr"/>
      <c r="O173" s="15" t="inlineStr"/>
      <c r="P173" s="15" t="inlineStr"/>
      <c r="Q173" s="15" t="inlineStr"/>
    </row>
    <row r="174">
      <c r="A174" s="12" t="inlineStr">
        <is>
          <t>E2E-03</t>
        </is>
      </c>
      <c r="B174" s="13" t="inlineStr">
        <is>
          <t>End-to-end scenarios</t>
        </is>
      </c>
      <c r="C174" s="13" t="inlineStr">
        <is>
          <t>Weekly internal</t>
        </is>
      </c>
      <c r="D174" s="13" t="inlineStr">
        <is>
          <t>as_of a Sunday; SOURCE_LOAD daily until data; Friday close</t>
        </is>
      </c>
      <c r="E174" s="13" t="inlineStr"/>
      <c r="F174" s="14" t="inlineStr"/>
      <c r="G174" s="13" t="inlineStr">
        <is>
          <t>As E2E-01 with "as_of" = a Sunday; SOURCE_LOAD every day until data; BATCH_CLOSE on Friday</t>
        </is>
      </c>
      <c r="H174" s="13" t="inlineStr">
        <is>
          <t>1. Check the precondition
2. Prepare the input: as_of a Sunday; SOURCE_LOAD daily until data; Friday close
3. Run the job
4. Run the verification SQL (replace &lt;batch&gt;, &lt;table&gt;)
5. Compare with the expected result and record the outcome</t>
        </is>
      </c>
      <c r="I174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
SELECT Load_ID, File_Path, Load_Stat, Reject_Rsn_Cd, Rules_Stat, Stg_Rcd_Cnt, Error_Txt, Updated_Dtts
FROM HSABC_DEV.ComplianceFileLoad WHERE Btch_ID = '&lt;batch&gt;' ORDER BY Load_ID DESC;
SELECT Src_Data_Key, COUNT(*) AS Rows_
FROM CMSUNIV_EXPORT_DEV_T.&lt;table&gt;_EXPORT WHERE Exp_Btch_ID = '&lt;batch&gt;' GROUP BY 1;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74" s="13" t="inlineStr">
        <is>
          <t>WKLY pulled again until data; exported at close date; rules run</t>
        </is>
      </c>
      <c r="K174" s="15" t="inlineStr">
        <is>
          <t>Not Run</t>
        </is>
      </c>
      <c r="L174" s="15" t="inlineStr"/>
      <c r="M174" s="15" t="inlineStr"/>
      <c r="N174" s="15" t="inlineStr"/>
      <c r="O174" s="15" t="inlineStr"/>
      <c r="P174" s="15" t="inlineStr"/>
      <c r="Q174" s="15" t="inlineStr"/>
    </row>
    <row r="175">
      <c r="A175" s="12" t="inlineStr">
        <is>
          <t>E2E-04</t>
        </is>
      </c>
      <c r="B175" s="13" t="inlineStr">
        <is>
          <t>End-to-end scenarios</t>
        </is>
      </c>
      <c r="C175" s="13" t="inlineStr">
        <is>
          <t>Missing source</t>
        </is>
      </c>
      <c r="D175" s="13" t="inlineStr">
        <is>
          <t>No file for one source</t>
        </is>
      </c>
      <c r="E175" s="13" t="inlineStr"/>
      <c r="F175" s="14" t="inlineStr"/>
      <c r="G175" s="13" t="inlineStr">
        <is>
          <t>See steps (DAGs in the order given)</t>
        </is>
      </c>
      <c r="H175" s="13" t="inlineStr">
        <is>
          <t>1. Check the precondition
2. Prepare the input: No file for one source
3. Run the job
4. Run the verification SQL (replace &lt;batch&gt;, &lt;table&gt;)
5. Compare with the expected result and record the outcome</t>
        </is>
      </c>
      <c r="I175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
SELECT Load_ID, File_Path, Load_Stat, Reject_Rsn_Cd, Rules_Stat, Stg_Rcd_Cnt, Error_Txt, Updated_Dtts
FROM HSABC_DEV.ComplianceFileLoad WHERE Btch_ID = '&lt;batch&gt;' ORDER BY Load_ID DESC;
SELECT Src_Data_Key, COUNT(*) AS Rows_
FROM CMSUNIV_EXPORT_DEV_T.&lt;table&gt;_EXPORT WHERE Exp_Btch_ID = '&lt;batch&gt;' GROUP BY 1;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75" s="13" t="inlineStr">
        <is>
          <t>That source DATA_NOT_PROVIDED / MISSING + alert; other sources complete; export has the others</t>
        </is>
      </c>
      <c r="K175" s="15" t="inlineStr">
        <is>
          <t>Not Run</t>
        </is>
      </c>
      <c r="L175" s="15" t="inlineStr"/>
      <c r="M175" s="15" t="inlineStr"/>
      <c r="N175" s="15" t="inlineStr"/>
      <c r="O175" s="15" t="inlineStr"/>
      <c r="P175" s="15" t="inlineStr"/>
      <c r="Q175" s="15" t="inlineStr"/>
    </row>
    <row r="176">
      <c r="A176" s="12" t="inlineStr">
        <is>
          <t>E2E-05</t>
        </is>
      </c>
      <c r="B176" s="13" t="inlineStr">
        <is>
          <t>End-to-end scenarios</t>
        </is>
      </c>
      <c r="C176" s="13" t="inlineStr">
        <is>
          <t>Bad then corrected file</t>
        </is>
      </c>
      <c r="D176" s="13" t="inlineStr">
        <is>
          <t>BAD_VALUE, then GOOD before close</t>
        </is>
      </c>
      <c r="E176" s="13" t="inlineStr"/>
      <c r="F176" s="14" t="inlineStr"/>
      <c r="G176" s="13" t="inlineStr">
        <is>
          <t>See steps (DAGs in the order given)</t>
        </is>
      </c>
      <c r="H176" s="13" t="inlineStr">
        <is>
          <t>1. Check the precondition
2. Prepare the input: BAD_VALUE, then GOOD before close
3. Run the job
4. Run the verification SQL (replace &lt;batch&gt;, &lt;table&gt;)
5. Compare with the expected result and record the outcome</t>
        </is>
      </c>
      <c r="I176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
SELECT Load_ID, File_Path, Load_Stat, Reject_Rsn_Cd, Rules_Stat, Stg_Rcd_Cnt, Error_Txt, Updated_Dtts
FROM HSABC_DEV.ComplianceFileLoad WHERE Btch_ID = '&lt;batch&gt;' ORDER BY Load_ID DESC;
SELECT Src_Data_Key, COUNT(*) AS Rows_
FROM CMSUNIV_EXPORT_DEV_T.&lt;table&gt;_EXPORT WHERE Exp_Btch_ID = '&lt;batch&gt;' GROUP BY 1;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76" s="13" t="inlineStr">
        <is>
          <t>First REJECTED (in Error/), second loaded; batch complete</t>
        </is>
      </c>
      <c r="K176" s="15" t="inlineStr">
        <is>
          <t>Not Run</t>
        </is>
      </c>
      <c r="L176" s="15" t="inlineStr"/>
      <c r="M176" s="15" t="inlineStr"/>
      <c r="N176" s="15" t="inlineStr"/>
      <c r="O176" s="15" t="inlineStr"/>
      <c r="P176" s="15" t="inlineStr"/>
      <c r="Q176" s="15" t="inlineStr"/>
    </row>
    <row r="177">
      <c r="A177" s="12" t="inlineStr">
        <is>
          <t>E2E-06</t>
        </is>
      </c>
      <c r="B177" s="13" t="inlineStr">
        <is>
          <t>End-to-end scenarios</t>
        </is>
      </c>
      <c r="C177" s="13" t="inlineStr">
        <is>
          <t>Late file after close</t>
        </is>
      </c>
      <c r="D177" s="13" t="inlineStr">
        <is>
          <t>LATE_ARRIVAL override then file</t>
        </is>
      </c>
      <c r="E177" s="13" t="inlineStr"/>
      <c r="F177" s="14" t="inlineStr"/>
      <c r="G177" s="13" t="inlineStr">
        <is>
          <t>See steps (DAGs in the order given)</t>
        </is>
      </c>
      <c r="H177" s="13" t="inlineStr">
        <is>
          <t>1. Check the precondition
2. Prepare the input: LATE_ARRIVAL override then file
3. Run the job
4. Run the verification SQL (replace &lt;batch&gt;, &lt;table&gt;)
5. Compare with the expected result and record the outcome</t>
        </is>
      </c>
      <c r="I177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
SELECT Load_ID, File_Path, Load_Stat, Reject_Rsn_Cd, Rules_Stat, Stg_Rcd_Cnt, Error_Txt, Updated_Dtts
FROM HSABC_DEV.ComplianceFileLoad WHERE Btch_ID = '&lt;batch&gt;' ORDER BY Load_ID DESC;
SELECT Src_Data_Key, COUNT(*) AS Rows_
FROM CMSUNIV_EXPORT_DEV_T.&lt;table&gt;_EXPORT WHERE Exp_Btch_ID = '&lt;batch&gt;' GROUP BY 1;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77" s="13" t="inlineStr">
        <is>
          <t>Data loaded and exported; batch REQUEST_COMPLETE</t>
        </is>
      </c>
      <c r="K177" s="15" t="inlineStr">
        <is>
          <t>Not Run</t>
        </is>
      </c>
      <c r="L177" s="15" t="inlineStr"/>
      <c r="M177" s="15" t="inlineStr"/>
      <c r="N177" s="15" t="inlineStr"/>
      <c r="O177" s="15" t="inlineStr"/>
      <c r="P177" s="15" t="inlineStr"/>
      <c r="Q177" s="15" t="inlineStr"/>
    </row>
    <row r="178">
      <c r="A178" s="12" t="inlineStr">
        <is>
          <t>E2E-07</t>
        </is>
      </c>
      <c r="B178" s="13" t="inlineStr">
        <is>
          <t>End-to-end scenarios</t>
        </is>
      </c>
      <c r="C178" s="13" t="inlineStr">
        <is>
          <t>Ad-hoc CMS request with carry-forward</t>
        </is>
      </c>
      <c r="D178" s="13" t="inlineStr">
        <is>
          <t>Intake, no file, REUSE, release, export</t>
        </is>
      </c>
      <c r="E178" s="13" t="inlineStr"/>
      <c r="F178" s="14" t="inlineStr"/>
      <c r="G178" s="13" t="inlineStr">
        <is>
          <t>See steps (DAGs in the order given)</t>
        </is>
      </c>
      <c r="H178" s="13" t="inlineStr">
        <is>
          <t>1. Check the precondition
2. Prepare the input: Intake, no file, REUSE, release, export
3. Run the job
4. Run the verification SQL (replace &lt;batch&gt;, &lt;table&gt;)
5. Compare with the expected result and record the outcome</t>
        </is>
      </c>
      <c r="I178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
SELECT Load_ID, File_Path, Load_Stat, Reject_Rsn_Cd, Rules_Stat, Stg_Rcd_Cnt, Error_Txt, Updated_Dtts
FROM HSABC_DEV.ComplianceFileLoad WHERE Btch_ID = '&lt;batch&gt;' ORDER BY Load_ID DESC;
SELECT Src_Data_Key, COUNT(*) AS Rows_
FROM CMSUNIV_EXPORT_DEV_T.&lt;table&gt;_EXPORT WHERE Exp_Btch_ID = '&lt;batch&gt;' GROUP BY 1;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78" s="13" t="inlineStr">
        <is>
          <t>Exported with the reused data under the CMS batch ID</t>
        </is>
      </c>
      <c r="K178" s="15" t="inlineStr">
        <is>
          <t>Not Run</t>
        </is>
      </c>
      <c r="L178" s="15" t="inlineStr"/>
      <c r="M178" s="15" t="inlineStr"/>
      <c r="N178" s="15" t="inlineStr"/>
      <c r="O178" s="15" t="inlineStr"/>
      <c r="P178" s="15" t="inlineStr"/>
      <c r="Q178" s="15" t="inlineStr"/>
    </row>
    <row r="179">
      <c r="A179" s="12" t="inlineStr">
        <is>
          <t>E2E-08</t>
        </is>
      </c>
      <c r="B179" s="13" t="inlineStr">
        <is>
          <t>End-to-end scenarios</t>
        </is>
      </c>
      <c r="C179" s="13" t="inlineStr">
        <is>
          <t>Table group export + rules</t>
        </is>
      </c>
      <c r="D179" s="13" t="inlineStr">
        <is>
          <t>EXPORT_LOAD {"table_group":"ODAG"}</t>
        </is>
      </c>
      <c r="E179" s="13" t="inlineStr"/>
      <c r="F179" s="14" t="inlineStr"/>
      <c r="G179" s="13" t="inlineStr">
        <is>
          <t>Airflow DAG OSSTD_CORE_CMS_COMPLIANCE_EXPORT_LOAD
Trigger DAG w/ config:
{"project": "CMSUNIV", "table_group": "ODAG"}</t>
        </is>
      </c>
      <c r="H179" s="13" t="inlineStr">
        <is>
          <t>1. Check the precondition
2. Prepare the input: EXPORT_LOAD {"table_group":"ODAG"}
3. Run the job
4. Run the verification SQL (replace &lt;batch&gt;, &lt;table&gt;)
5. Compare with the expected result and record the outcome</t>
        </is>
      </c>
      <c r="I179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
SELECT Load_ID, File_Path, Load_Stat, Reject_Rsn_Cd, Rules_Stat, Stg_Rcd_Cnt, Error_Txt, Updated_Dtts
FROM HSABC_DEV.ComplianceFileLoad WHERE Btch_ID = '&lt;batch&gt;' ORDER BY Load_ID DESC;
SELECT Src_Data_Key, COUNT(*) AS Rows_
FROM CMSUNIV_EXPORT_DEV_T.&lt;table&gt;_EXPORT WHERE Exp_Btch_ID = '&lt;batch&gt;' GROUP BY 1;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79" s="13" t="inlineStr">
        <is>
          <t>One FILE_RULES run covering ODAG1–6 batches one at a time; EXPORT_LOAD ends after it</t>
        </is>
      </c>
      <c r="K179" s="15" t="inlineStr">
        <is>
          <t>Not Run</t>
        </is>
      </c>
      <c r="L179" s="15" t="inlineStr"/>
      <c r="M179" s="15" t="inlineStr"/>
      <c r="N179" s="15" t="inlineStr"/>
      <c r="O179" s="15" t="inlineStr"/>
      <c r="P179" s="15" t="inlineStr"/>
      <c r="Q179" s="15" t="inlineStr"/>
    </row>
    <row r="180">
      <c r="A180" s="12" t="inlineStr">
        <is>
          <t>E2E-09</t>
        </is>
      </c>
      <c r="B180" s="13" t="inlineStr">
        <is>
          <t>End-to-end scenarios</t>
        </is>
      </c>
      <c r="C180" s="13" t="inlineStr">
        <is>
          <t>Rerun the whole day</t>
        </is>
      </c>
      <c r="D180" s="13" t="inlineStr">
        <is>
          <t>Repeat E2E-01 steps</t>
        </is>
      </c>
      <c r="E180" s="13" t="inlineStr"/>
      <c r="F180" s="14" t="inlineStr"/>
      <c r="G180" s="13" t="inlineStr">
        <is>
          <t>See steps (DAGs in the order given)</t>
        </is>
      </c>
      <c r="H180" s="13" t="inlineStr">
        <is>
          <t>1. Check the precondition
2. Prepare the input: Repeat E2E-01 steps
3. Run the job
4. Run the verification SQL (replace &lt;batch&gt;, &lt;table&gt;)
5. Compare with the expected result and record the outcome</t>
        </is>
      </c>
      <c r="I180" s="14" t="inlineStr">
        <is>
          <t>SELECT Btch_ID, Src_ID, Run_Ty, Rpt_Start_Dt_Key, Rpt_End_Dt_Key, Req_Dt_Key, Req_Stat, Resolution_Ty, Batch_Close_Ind, Cmplnc_Vrsn
FROM HSABC_DEV.ComplianceRequestControl
WHERE Project_Cd = 'CMSUNIV' AND Req_Dt_Key = CURRENT_DATE
ORDER BY Btch_ID, Src_ID;
SELECT Load_ID, File_Path, Load_Stat, Reject_Rsn_Cd, Rules_Stat, Stg_Rcd_Cnt, Error_Txt, Updated_Dtts
FROM HSABC_DEV.ComplianceFileLoad WHERE Btch_ID = '&lt;batch&gt;' ORDER BY Load_ID DESC;
SELECT Src_Data_Key, COUNT(*) AS Rows_
FROM CMSUNIV_EXPORT_DEV_T.&lt;table&gt;_EXPORT WHERE Exp_Btch_ID = '&lt;batch&gt;' GROUP BY 1;
SELECT rule_id, status, run_key FROM HSABC_DEV.gre_results WHERE run_key = '&lt;batch&gt;' ORDER BY 1;
SELECT rule_id, run_type, batch_schedule, COUNT(*) FROM HSABC_DEV.gre_exceptions
WHERE run_key = '&lt;batch&gt;' AND etl_is_curr_ind = 'Y' GROUP BY 1, 2, 3;</t>
        </is>
      </c>
      <c r="J180" s="13" t="inlineStr">
        <is>
          <t>No duplicates anywhere (batches, core, export, alerts)</t>
        </is>
      </c>
      <c r="K180" s="15" t="inlineStr">
        <is>
          <t>Not Run</t>
        </is>
      </c>
      <c r="L180" s="15" t="inlineStr"/>
      <c r="M180" s="15" t="inlineStr"/>
      <c r="N180" s="15" t="inlineStr"/>
      <c r="O180" s="15" t="inlineStr"/>
      <c r="P180" s="15" t="inlineStr"/>
      <c r="Q180" s="15" t="inlineStr"/>
    </row>
    <row r="181">
      <c r="A181" s="12" t="inlineStr">
        <is>
          <t>UP-01</t>
        </is>
      </c>
      <c r="B181" s="13" t="inlineStr">
        <is>
          <t>Upgrade statements</t>
        </is>
      </c>
      <c r="C181" s="13" t="inlineStr">
        <is>
          <t>Upgrade from before 0.3.57</t>
        </is>
      </c>
      <c r="D181" s="13" t="inlineStr">
        <is>
          <t>Run the statements of runbook section 16 for this version</t>
        </is>
      </c>
      <c r="E181" s="13" t="inlineStr">
        <is>
          <t>For an installation created before the version shown (runbook section 16).</t>
        </is>
      </c>
      <c r="F181" s="14" t="inlineStr"/>
      <c r="G181" s="13" t="inlineStr">
        <is>
          <t>SQL client on Teradata (runbook section 16 statements)</t>
        </is>
      </c>
      <c r="H181" s="13" t="inlineStr">
        <is>
          <t>1. Check the precondition
2. Prepare the input: Run the statements of runbook section 16 for this version
3. Run the job
4. Check the task log / step report
5. Compare with the expected result and record the outcome</t>
        </is>
      </c>
      <c r="I181" s="14" t="inlineStr"/>
      <c r="J181" s="13" t="inlineStr">
        <is>
          <t>ComplianceRunTypePeriod has Rpt_Dt_Sql_Txt; Rpt_Period_Cd nullable</t>
        </is>
      </c>
      <c r="K181" s="15" t="inlineStr">
        <is>
          <t>Not Run</t>
        </is>
      </c>
      <c r="L181" s="15" t="inlineStr"/>
      <c r="M181" s="15" t="inlineStr"/>
      <c r="N181" s="15" t="inlineStr"/>
      <c r="O181" s="15" t="inlineStr"/>
      <c r="P181" s="15" t="inlineStr"/>
      <c r="Q181" s="15" t="inlineStr"/>
    </row>
    <row r="182">
      <c r="A182" s="12" t="inlineStr">
        <is>
          <t>UP-02</t>
        </is>
      </c>
      <c r="B182" s="13" t="inlineStr">
        <is>
          <t>Upgrade statements</t>
        </is>
      </c>
      <c r="C182" s="13" t="inlineStr">
        <is>
          <t>Upgrade from before 0.3.60</t>
        </is>
      </c>
      <c r="D182" s="13" t="inlineStr">
        <is>
          <t>Run the statements of runbook section 16 for this version</t>
        </is>
      </c>
      <c r="E182" s="13" t="inlineStr">
        <is>
          <t>For an installation created before the version shown (runbook section 16).</t>
        </is>
      </c>
      <c r="F182" s="14" t="inlineStr"/>
      <c r="G182" s="13" t="inlineStr">
        <is>
          <t>SQL client on Teradata (runbook section 16 statements)</t>
        </is>
      </c>
      <c r="H182" s="13" t="inlineStr">
        <is>
          <t>1. Check the precondition
2. Prepare the input: Run the statements of runbook section 16 for this version
3. Run the job
4. Check the task log / step report
5. Compare with the expected result and record the outcome</t>
        </is>
      </c>
      <c r="I182" s="14" t="inlineStr"/>
      <c r="J182" s="13" t="inlineStr">
        <is>
          <t>ComplianceFileLoad.Reject_Rsn_Cd exists; no QUARANTINED rows</t>
        </is>
      </c>
      <c r="K182" s="15" t="inlineStr">
        <is>
          <t>Not Run</t>
        </is>
      </c>
      <c r="L182" s="15" t="inlineStr"/>
      <c r="M182" s="15" t="inlineStr"/>
      <c r="N182" s="15" t="inlineStr"/>
      <c r="O182" s="15" t="inlineStr"/>
      <c r="P182" s="15" t="inlineStr"/>
      <c r="Q182" s="15" t="inlineStr"/>
    </row>
    <row r="183">
      <c r="A183" s="12" t="inlineStr">
        <is>
          <t>UP-03</t>
        </is>
      </c>
      <c r="B183" s="13" t="inlineStr">
        <is>
          <t>Upgrade statements</t>
        </is>
      </c>
      <c r="C183" s="13" t="inlineStr">
        <is>
          <t>Upgrade from before 0.3.62</t>
        </is>
      </c>
      <c r="D183" s="13" t="inlineStr">
        <is>
          <t>Run the statements of runbook section 16 for this version</t>
        </is>
      </c>
      <c r="E183" s="13" t="inlineStr">
        <is>
          <t>For an installation created before the version shown (runbook section 16).</t>
        </is>
      </c>
      <c r="F183" s="14" t="inlineStr"/>
      <c r="G183" s="13" t="inlineStr">
        <is>
          <t>SQL client on Teradata (runbook section 16 statements)</t>
        </is>
      </c>
      <c r="H183" s="13" t="inlineStr">
        <is>
          <t>1. Check the precondition
2. Prepare the input: Run the statements of runbook section 16 for this version
3. Run the job
4. Check the task log / step report
5. Compare with the expected result and record the outcome</t>
        </is>
      </c>
      <c r="I183" s="14" t="inlineStr"/>
      <c r="J183" s="13" t="inlineStr">
        <is>
          <t>No PROMOTED / SUPERSEDED / FAILED_TECHNICAL / DEFERRED load statuses</t>
        </is>
      </c>
      <c r="K183" s="15" t="inlineStr">
        <is>
          <t>Not Run</t>
        </is>
      </c>
      <c r="L183" s="15" t="inlineStr"/>
      <c r="M183" s="15" t="inlineStr"/>
      <c r="N183" s="15" t="inlineStr"/>
      <c r="O183" s="15" t="inlineStr"/>
      <c r="P183" s="15" t="inlineStr"/>
      <c r="Q183" s="15" t="inlineStr"/>
    </row>
    <row r="184">
      <c r="A184" s="12" t="inlineStr">
        <is>
          <t>UP-04</t>
        </is>
      </c>
      <c r="B184" s="13" t="inlineStr">
        <is>
          <t>Upgrade statements</t>
        </is>
      </c>
      <c r="C184" s="13" t="inlineStr">
        <is>
          <t>Upgrade from before 0.3.63</t>
        </is>
      </c>
      <c r="D184" s="13" t="inlineStr">
        <is>
          <t>Run the statements of runbook section 16 for this version</t>
        </is>
      </c>
      <c r="E184" s="13" t="inlineStr">
        <is>
          <t>For an installation created before the version shown (runbook section 16).</t>
        </is>
      </c>
      <c r="F184" s="14" t="inlineStr"/>
      <c r="G184" s="13" t="inlineStr">
        <is>
          <t>SQL client on Teradata (runbook section 16 statements)</t>
        </is>
      </c>
      <c r="H184" s="13" t="inlineStr">
        <is>
          <t>1. Check the precondition
2. Prepare the input: Run the statements of runbook section 16 for this version
3. Run the job
4. Check the task log / step report
5. Compare with the expected result and record the outcome</t>
        </is>
      </c>
      <c r="I184" s="14" t="inlineStr"/>
      <c r="J184" s="13" t="inlineStr">
        <is>
          <t>No FILE_PROMOTED / …_PROMOTED timeline events</t>
        </is>
      </c>
      <c r="K184" s="15" t="inlineStr">
        <is>
          <t>Not Run</t>
        </is>
      </c>
      <c r="L184" s="15" t="inlineStr"/>
      <c r="M184" s="15" t="inlineStr"/>
      <c r="N184" s="15" t="inlineStr"/>
      <c r="O184" s="15" t="inlineStr"/>
      <c r="P184" s="15" t="inlineStr"/>
      <c r="Q184" s="15" t="inlineStr"/>
    </row>
    <row r="185">
      <c r="A185" s="12" t="inlineStr">
        <is>
          <t>UP-05</t>
        </is>
      </c>
      <c r="B185" s="13" t="inlineStr">
        <is>
          <t>Upgrade statements</t>
        </is>
      </c>
      <c r="C185" s="13" t="inlineStr">
        <is>
          <t>Upgrade from before 0.3.67</t>
        </is>
      </c>
      <c r="D185" s="13" t="inlineStr">
        <is>
          <t>Run the statements of runbook section 16 for this version</t>
        </is>
      </c>
      <c r="E185" s="13" t="inlineStr">
        <is>
          <t>For an installation created before the version shown (runbook section 16).</t>
        </is>
      </c>
      <c r="F185" s="14" t="inlineStr"/>
      <c r="G185" s="13" t="inlineStr">
        <is>
          <t>SQL client on Teradata (runbook section 16 statements)</t>
        </is>
      </c>
      <c r="H185" s="13" t="inlineStr">
        <is>
          <t>1. Check the precondition
2. Prepare the input: Run the statements of runbook section 16 for this version
3. Run the job
4. Check the task log / step report
5. Compare with the expected result and record the outcome</t>
        </is>
      </c>
      <c r="I185" s="14" t="inlineStr"/>
      <c r="J185" s="13" t="inlineStr">
        <is>
          <t>ComplianceExportConfig has Exp_Sql_Txt, Exp_Pre_Sql_Txt, Exp_Post_Sql_Txt</t>
        </is>
      </c>
      <c r="K185" s="15" t="inlineStr">
        <is>
          <t>Not Run</t>
        </is>
      </c>
      <c r="L185" s="15" t="inlineStr"/>
      <c r="M185" s="15" t="inlineStr"/>
      <c r="N185" s="15" t="inlineStr"/>
      <c r="O185" s="15" t="inlineStr"/>
      <c r="P185" s="15" t="inlineStr"/>
      <c r="Q185" s="15" t="inlineStr"/>
    </row>
    <row r="186">
      <c r="A186" s="12" t="inlineStr">
        <is>
          <t>UP-06</t>
        </is>
      </c>
      <c r="B186" s="13" t="inlineStr">
        <is>
          <t>Upgrade statements</t>
        </is>
      </c>
      <c r="C186" s="13" t="inlineStr">
        <is>
          <t>Upgrade from before Run type rename</t>
        </is>
      </c>
      <c r="D186" s="13" t="inlineStr">
        <is>
          <t>Run the statements of runbook section 16 for this version</t>
        </is>
      </c>
      <c r="E186" s="13" t="inlineStr">
        <is>
          <t>For an installation created before the version shown (runbook section 16).</t>
        </is>
      </c>
      <c r="F186" s="14" t="inlineStr"/>
      <c r="G186" s="13" t="inlineStr">
        <is>
          <t>SQL client on Teradata (runbook section 16 statements)</t>
        </is>
      </c>
      <c r="H186" s="13" t="inlineStr">
        <is>
          <t>1. Check the precondition
2. Prepare the input: Run the statements of runbook section 16 for this version
3. Run the job
4. Check the task log / step report
5. Compare with the expected result and record the outcome</t>
        </is>
      </c>
      <c r="I186" s="14" t="inlineStr"/>
      <c r="J186" s="13" t="inlineStr">
        <is>
          <t>Old DAILY / WEEKLY inactive; DLY / WKLY in periods and crosswalk; old batches closed under their old IDs</t>
        </is>
      </c>
      <c r="K186" s="15" t="inlineStr">
        <is>
          <t>Not Run</t>
        </is>
      </c>
      <c r="L186" s="15" t="inlineStr"/>
      <c r="M186" s="15" t="inlineStr"/>
      <c r="N186" s="15" t="inlineStr"/>
      <c r="O186" s="15" t="inlineStr"/>
      <c r="P186" s="15" t="inlineStr"/>
      <c r="Q186" s="15" t="inlineStr"/>
    </row>
  </sheetData>
  <autoFilter ref="A1:Q186"/>
  <conditionalFormatting sqref="K2:K18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K2:K186" showDropDown="0" showInputMessage="0" showErrorMessage="0" allowBlank="1" type="list">
      <formula1>"Not Run,Pass,Fail,Blocked,N/A"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="9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30" customWidth="1" min="3" max="3"/>
  </cols>
  <sheetData>
    <row r="1">
      <c r="A1" s="4" t="inlineStr">
        <is>
          <t>Query</t>
        </is>
      </c>
      <c r="B1" s="4" t="inlineStr">
        <is>
          <t>Purpose</t>
        </is>
      </c>
      <c r="C1" s="4" t="inlineStr">
        <is>
          <t>SQL</t>
        </is>
      </c>
    </row>
    <row r="2">
      <c r="A2" s="13" t="inlineStr">
        <is>
          <t>Q1</t>
        </is>
      </c>
      <c r="B2" s="13" t="inlineStr">
        <is>
          <t>batches of a day (all sources)</t>
        </is>
      </c>
      <c r="C2" s="14" t="inlineStr">
        <is>
          <t>SELECT Btch_ID, Src_ID, Run_Ty, Rpt_Start_Dt_Key, Rpt_End_Dt_Key, Req_Dt_Key, Req_Stat, Resolution_Ty, Batch_Close_Ind, Cmplnc_Vrsn
FROM HSABC_DEV.ComplianceRequestControl WHERE Project_Cd = 'CMSUNIV' AND Req_Dt_Key = DATE '2026-10-26' ORDER BY Btch_ID, Src_ID;</t>
        </is>
      </c>
    </row>
    <row r="3">
      <c r="A3" s="13" t="inlineStr">
        <is>
          <t>Q2</t>
        </is>
      </c>
      <c r="B3" s="13" t="inlineStr">
        <is>
          <t>one batch</t>
        </is>
      </c>
      <c r="C3" s="14" t="inlineStr">
        <is>
          <t>SELECT * FROM HSABC_DEV.ComplianceRequestControl WHERE Btch_ID = '&lt;batch&gt;' ORDER BY Src_ID;</t>
        </is>
      </c>
    </row>
    <row r="4">
      <c r="A4" s="13" t="inlineStr">
        <is>
          <t>Q3</t>
        </is>
      </c>
      <c r="B4" s="13" t="inlineStr">
        <is>
          <t>timeline of a batch</t>
        </is>
      </c>
      <c r="C4" s="14" t="inlineStr">
        <is>
          <t>SELECT c.Src_ID, d.Event_Dtts, d.Event_Ty, d.Load_ID, d.Event_Txt
FROM HSABC_DEV.ComplianceRequestFileDetail d JOIN HSABC_DEV.ComplianceRequestControl c ON c.Req_ID = d.Req_ID
WHERE c.Btch_ID = '&lt;batch&gt;' ORDER BY c.Src_ID, d.Detail_ID;</t>
        </is>
      </c>
    </row>
    <row r="5">
      <c r="A5" s="13" t="inlineStr">
        <is>
          <t>Q4</t>
        </is>
      </c>
      <c r="B5" s="13" t="inlineStr">
        <is>
          <t>loads (files and pulls) of a batch, newest first</t>
        </is>
      </c>
      <c r="C5" s="14" t="inlineStr">
        <is>
          <t>SELECT Load_ID, File_Share, File_Path, Load_Stat, Reject_Rsn_Cd, Rules_Stat, Stg_Rcd_Cnt, Error_Txt, Updated_Dtts
FROM HSABC_DEV.ComplianceFileLoad WHERE Btch_ID = '&lt;batch&gt;' ORDER BY Load_ID DESC;</t>
        </is>
      </c>
    </row>
    <row r="6">
      <c r="A6" s="13" t="inlineStr">
        <is>
          <t>Q5</t>
        </is>
      </c>
      <c r="B6" s="13" t="inlineStr">
        <is>
          <t>alerts (audit) of a batch</t>
        </is>
      </c>
      <c r="C6" s="14" t="inlineStr">
        <is>
          <t>SELECT Event_ID, Event_Ty, Sevrty, Src_ID, Load_ID, Event_Txt, Notified_Ind, Event_Dtts
FROM HSABC_DEV.CMS_ComplianceExceptionsAudit WHERE Btch_ID = '&lt;batch&gt;' ORDER BY Event_ID;</t>
        </is>
      </c>
    </row>
    <row r="7">
      <c r="A7" s="13" t="inlineStr">
        <is>
          <t>Q6</t>
        </is>
      </c>
      <c r="B7" s="13" t="inlineStr">
        <is>
          <t>staging rows by batch / source / run type / load</t>
        </is>
      </c>
      <c r="C7" s="14" t="inlineStr">
        <is>
          <t>SELECT Btch_ID, Src_Data_Key, Run_Ty, AuditDataID, COUNT(*) FROM &lt;staging db&gt;.&lt;table&gt; GROUP BY 1, 2, 3, 4 ORDER BY 1, 2;</t>
        </is>
      </c>
    </row>
    <row r="8">
      <c r="A8" s="13" t="inlineStr">
        <is>
          <t>Q7</t>
        </is>
      </c>
      <c r="B8" s="13" t="inlineStr">
        <is>
          <t>core rows of a batch</t>
        </is>
      </c>
      <c r="C8" s="14" t="inlineStr">
        <is>
          <t>SELECT Src_Data_Key, COUNT(*), MIN(StagingCreateDate), MAX(Load_Dtts) FROM &lt;core db&gt;.&lt;table&gt; WHERE Btch_ID = '&lt;batch&gt;' GROUP BY 1;</t>
        </is>
      </c>
    </row>
    <row r="9">
      <c r="A9" s="13" t="inlineStr">
        <is>
          <t>Q8</t>
        </is>
      </c>
      <c r="B9" s="13" t="inlineStr">
        <is>
          <t>export rows of a batch</t>
        </is>
      </c>
      <c r="C9" s="14" t="inlineStr">
        <is>
          <t>SELECT Src_Data_Key, COUNT(*) FROM CMSUNIV_EXPORT_DEV_T.&lt;table&gt;_EXPORT WHERE Exp_Btch_ID = '&lt;batch&gt;' GROUP BY 1;</t>
        </is>
      </c>
    </row>
    <row r="10">
      <c r="A10" s="13" t="inlineStr">
        <is>
          <t>Q9</t>
        </is>
      </c>
      <c r="B10" s="13" t="inlineStr">
        <is>
          <t>rules results of a batch</t>
        </is>
      </c>
      <c r="C10" s="14" t="inlineStr">
        <is>
          <t>SELECT r.rule_id, r.status, r.run_key FROM HSABC_DEV.gre_results r WHERE r.run_key = '&lt;batch&gt;' ORDER BY 1;
SELECT rule_id, run_type, batch_schedule, COUNT(*) FROM HSABC_DEV.gre_exceptions WHERE run_key = '&lt;batch&gt;' AND etl_is_curr_ind = 'Y' GROUP BY 1, 2, 3;</t>
        </is>
      </c>
    </row>
    <row r="11">
      <c r="A11" s="13" t="inlineStr">
        <is>
          <t>Q10</t>
        </is>
      </c>
      <c r="B11" s="13" t="inlineStr">
        <is>
          <t>locks</t>
        </is>
      </c>
      <c r="C11" s="14" t="inlineStr">
        <is>
          <t>SELECT Lock_Key, Owner_ID, Acquired_Dtts, Expires_Dtts FROM HSABC_DEV.ComplianceLock ORDER BY Acquired_Dtts;</t>
        </is>
      </c>
    </row>
    <row r="12">
      <c r="A12" s="13" t="inlineStr">
        <is>
          <t>Q11</t>
        </is>
      </c>
      <c r="B12" s="13" t="inlineStr">
        <is>
          <t>unsent alerts</t>
        </is>
      </c>
      <c r="C12" s="14" t="inlineStr">
        <is>
          <t>SELECT Event_ID, Event_Ty, Btch_ID, Event_Dtts FROM HSABC_DEV.CMS_ComplianceExceptionsAudit WHERE Notified_Ind = 0 ORDER BY Event_ID;</t>
        </is>
      </c>
    </row>
    <row r="13">
      <c r="A13" s="13" t="inlineStr">
        <is>
          <t>Q12</t>
        </is>
      </c>
      <c r="B13" s="13" t="inlineStr">
        <is>
          <t>framework tables present</t>
        </is>
      </c>
      <c r="C13" s="14" t="inlineStr">
        <is>
          <t>SELECT TableName FROM DBC.TablesV WHERE DatabaseName = 'HSABC_DEV' AND (TableName LIKE 'Compliance%' OR TableName = 'CMS_ComplianceExceptionsAudit') ORDER BY 1;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zoomScale="90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</cols>
  <sheetData>
    <row r="1">
      <c r="A1" s="16" t="inlineStr">
        <is>
          <t>#</t>
        </is>
      </c>
      <c r="B1" s="16" t="inlineStr">
        <is>
          <t>Item</t>
        </is>
      </c>
      <c r="C1" s="16" t="inlineStr">
        <is>
          <t>How to check</t>
        </is>
      </c>
    </row>
    <row r="2">
      <c r="A2" s="13" t="inlineStr">
        <is>
          <t>P1</t>
        </is>
      </c>
      <c r="B2" s="13" t="inlineStr">
        <is>
          <t>Framework 0.3.67 and rules_engine deployed in the DAGs folder; 9 DAGs visible, no import errors</t>
        </is>
      </c>
      <c r="C2" s="13" t="inlineStr">
        <is>
          <t>Airflow UI → DAGs; Browse → DAG import errors empty</t>
        </is>
      </c>
    </row>
    <row r="3">
      <c r="A3" s="13" t="inlineStr">
        <is>
          <t>P2</t>
        </is>
      </c>
      <c r="B3" s="13" t="inlineStr">
        <is>
          <t>Metadata tables from sql/schema.sql exist in HSABC_DEV (20 tables)</t>
        </is>
      </c>
      <c r="C3" s="13" t="inlineStr">
        <is>
          <t>Q12</t>
        </is>
      </c>
    </row>
    <row r="4">
      <c r="A4" s="13" t="inlineStr">
        <is>
          <t>P3</t>
        </is>
      </c>
      <c r="B4" s="13" t="inlineStr">
        <is>
          <t>CMSUNIV configuration loaded (examples/cmsuniv_setup.sql), run types DLY / WKLY</t>
        </is>
      </c>
      <c r="C4" s="13" t="inlineStr">
        <is>
          <t>SELECT Run_Ty, Sched_Cd, SLA_Days FROM HSABC_DEV.ComplianceRunType;</t>
        </is>
      </c>
    </row>
    <row r="5">
      <c r="A5" s="13" t="inlineStr">
        <is>
          <t>P4</t>
        </is>
      </c>
      <c r="B5" s="13" t="inlineStr">
        <is>
          <t>Staging, core, export tables and export procedures created (examples/cmsuniv_export_dev.sql)</t>
        </is>
      </c>
      <c r="C5" s="13" t="inlineStr">
        <is>
          <t>SHOW TABLE on a few</t>
        </is>
      </c>
    </row>
    <row r="6">
      <c r="A6" s="13" t="inlineStr">
        <is>
          <t>P5</t>
        </is>
      </c>
      <c r="B6" s="13" t="inlineStr">
        <is>
          <t>Airflow Connections: DEV (Teradata), comp_oper_creds (NAS), SQL_CHS, SQL_AZ, SQL_SNPCC, smtp_default</t>
        </is>
      </c>
      <c r="C6" s="13" t="inlineStr">
        <is>
          <t>Admin → Connections</t>
        </is>
      </c>
    </row>
    <row r="7">
      <c r="A7" s="13" t="inlineStr">
        <is>
          <t>P6</t>
        </is>
      </c>
      <c r="B7" s="13" t="inlineStr">
        <is>
          <t>9 Airflow Variables from examples/cmsuniv_dev/</t>
        </is>
      </c>
      <c r="C7" s="13" t="inlineStr">
        <is>
          <t>Admin → Variables</t>
        </is>
      </c>
    </row>
    <row r="8">
      <c r="A8" s="13" t="inlineStr">
        <is>
          <t>P7</t>
        </is>
      </c>
      <c r="B8" s="13" t="inlineStr">
        <is>
          <t>Pool gre_rules with 1 slot; Airflow triggerer running</t>
        </is>
      </c>
      <c r="C8" s="13" t="inlineStr">
        <is>
          <t>Admin → Pools; airflow jobs check --job-type TriggererJob</t>
        </is>
      </c>
    </row>
    <row r="9">
      <c r="A9" s="13" t="inlineStr">
        <is>
          <t>P8</t>
        </is>
      </c>
      <c r="B9" s="13" t="inlineStr">
        <is>
          <t>GRE tables (gre_rules, gre_results, gre_exceptions, gre_rule_audit, gre_rule_errors) and CMSUNIV rules</t>
        </is>
      </c>
      <c r="C9" s="13" t="inlineStr">
        <is>
          <t>SELECT RULE_GROUP, RULE_VARIANT, COUNT(*) FROM HSABC_DEV.gre_rules WHERE ACT_IND = 1 GROUP BY 1, 2;</t>
        </is>
      </c>
    </row>
    <row r="10">
      <c r="A10" s="13" t="inlineStr">
        <is>
          <t>P9</t>
        </is>
      </c>
      <c r="B10" s="13" t="inlineStr">
        <is>
          <t>Export feed views EXPORT_FEED_DEV_V.SDO_CMSUNIV_* with a Btch_ID column</t>
        </is>
      </c>
      <c r="C10" s="13" t="inlineStr">
        <is>
          <t>SHOW VIEW</t>
        </is>
      </c>
    </row>
    <row r="11">
      <c r="A11" s="13" t="inlineStr">
        <is>
          <t>P10</t>
        </is>
      </c>
      <c r="B11" s="13" t="inlineStr">
        <is>
          <t>email_recipient mailbox reachable</t>
        </is>
      </c>
      <c r="C11" s="13" t="inlineStr">
        <is>
          <t>Send a test email from Airflow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zoomScale="90"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3" t="inlineStr">
        <is>
          <t>File name: CMSAUTH_&lt;source&gt;_&lt;file type&gt;_22_&lt;run type&gt;_&lt;report start&gt;_&lt;report end&gt;_&lt;YYYYMMDDHHMISS&gt;.txt, e.g. CMSAUTH_CDHDHMO_PYMT_C_22_DLY_20261025_20261025_20261026080000.txt</t>
        </is>
      </c>
    </row>
    <row r="3">
      <c r="A3" s="16" t="inlineStr">
        <is>
          <t>File</t>
        </is>
      </c>
      <c r="B3" s="16" t="inlineStr">
        <is>
          <t>Content</t>
        </is>
      </c>
    </row>
    <row r="4">
      <c r="A4" s="13" t="inlineStr">
        <is>
          <t>GOOD</t>
        </is>
      </c>
      <c r="B4" s="13" t="inlineStr">
        <is>
          <t>Header, 3–5 data rows with valid values, trailer with the right count</t>
        </is>
      </c>
    </row>
    <row r="5">
      <c r="A5" s="13" t="inlineStr">
        <is>
          <t>EMPTY</t>
        </is>
      </c>
      <c r="B5" s="13" t="inlineStr">
        <is>
          <t>Header and trailer only (0 data rows)</t>
        </is>
      </c>
    </row>
    <row r="6">
      <c r="A6" s="13" t="inlineStr">
        <is>
          <t>BAD_HEADER</t>
        </is>
      </c>
      <c r="B6" s="13" t="inlineStr">
        <is>
          <t>One header name changed</t>
        </is>
      </c>
    </row>
    <row r="7">
      <c r="A7" s="13" t="inlineStr">
        <is>
          <t>BAD_COUNT</t>
        </is>
      </c>
      <c r="B7" s="13" t="inlineStr">
        <is>
          <t>Trailer count wrong</t>
        </is>
      </c>
    </row>
    <row r="8">
      <c r="A8" s="13" t="inlineStr">
        <is>
          <t>BAD_RECORD</t>
        </is>
      </c>
      <c r="B8" s="13" t="inlineStr">
        <is>
          <t>One row with a missing field, one with an extra field, one blank line</t>
        </is>
      </c>
    </row>
    <row r="9">
      <c r="A9" s="13" t="inlineStr">
        <is>
          <t>BAD_VALUE</t>
        </is>
      </c>
      <c r="B9" s="13" t="inlineStr">
        <is>
          <t>A value breaking a check (VALUE_IN, DATE_FORMAT, LENGTH)</t>
        </is>
      </c>
    </row>
    <row r="10">
      <c r="A10" s="13" t="inlineStr">
        <is>
          <t>BAD_TYPE</t>
        </is>
      </c>
      <c r="B10" s="13" t="inlineStr">
        <is>
          <t>A value that does not convert to its core column's type (e.g. 13/45/2026 into a DATE column)</t>
        </is>
      </c>
    </row>
    <row r="11">
      <c r="A11" s="13" t="inlineStr">
        <is>
          <t>BAD_NAME</t>
        </is>
      </c>
      <c r="B11" s="13" t="inlineStr">
        <is>
          <t>Name not matching the template (e.g. version 21, unknown run type, bad date)</t>
        </is>
      </c>
    </row>
    <row r="12">
      <c r="A12" s="13" t="inlineStr">
        <is>
          <t>NO_BATCH</t>
        </is>
      </c>
      <c r="B12" s="13" t="inlineStr">
        <is>
          <t>Report dates for which no batch exists</t>
        </is>
      </c>
    </row>
    <row r="13">
      <c r="A13" s="13" t="inlineStr">
        <is>
          <t>DUP</t>
        </is>
      </c>
      <c r="B13" s="13" t="inlineStr">
        <is>
          <t>A copy of GOOD under another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2026-10-26T16:59:45Z</dcterms:created>
  <dcterms:modified xmlns:dcterms="http://purl.org/dc/terms/" xmlns:xsi="http://www.w3.org/2001/XMLSchema-instance" xsi:type="dcterms:W3CDTF">2026-10-26T16:59:45Z</dcterms:modified>
</cp:coreProperties>
</file>